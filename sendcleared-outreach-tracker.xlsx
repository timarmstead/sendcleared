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mc:AlternateContent xmlns:mc="http://schemas.openxmlformats.org/markup-compatibility/2006">
    <mc:Choice Requires="x15">
      <x15ac:absPath xmlns:x15ac="http://schemas.microsoft.com/office/spreadsheetml/2010/11/ac" url="/Users/timothyarmstead/Sendcleared/"/>
    </mc:Choice>
  </mc:AlternateContent>
  <xr:revisionPtr revIDLastSave="0" documentId="13_ncr:1_{5B07565C-6D78-DA4D-8548-8C78A9FC9B96}" xr6:coauthVersionLast="47" xr6:coauthVersionMax="47" xr10:uidLastSave="{00000000-0000-0000-0000-000000000000}"/>
  <bookViews>
    <workbookView xWindow="39220" yWindow="4860" windowWidth="27860" windowHeight="16220" tabRatio="500" firstSheet="4" activeTab="12" xr2:uid="{00000000-000D-0000-FFFF-FFFF00000000}"/>
  </bookViews>
  <sheets>
    <sheet name="Overview" sheetId="12" r:id="rId1"/>
    <sheet name="Daily Playbook" sheetId="1" r:id="rId2"/>
    <sheet name="Lead Tracker" sheetId="2" r:id="rId3"/>
    <sheet name="DM Templates" sheetId="3" r:id="rId4"/>
    <sheet name="LinkedIn Requests" sheetId="4" r:id="rId5"/>
    <sheet name="Weekly Scoreboard" sheetId="5" r:id="rId6"/>
    <sheet name="Channel Strategy" sheetId="6" r:id="rId7"/>
    <sheet name="Linked in Content Plan" sheetId="10" r:id="rId8"/>
    <sheet name="Community Questions" sheetId="7" r:id="rId9"/>
    <sheet name="SEO Content Plan" sheetId="11" r:id="rId10"/>
    <sheet name="Community Posts" sheetId="8" r:id="rId11"/>
    <sheet name="Directory Listings" sheetId="13" r:id="rId12"/>
    <sheet name="Contacts " sheetId="9" r:id="rId13"/>
  </sheets>
  <externalReferences>
    <externalReference r:id="rId14"/>
  </externalReferenc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30" i="12" l="1"/>
  <c r="B29" i="12"/>
  <c r="B28" i="12"/>
  <c r="B31" i="12" s="1"/>
  <c r="B27" i="12"/>
  <c r="H13" i="5"/>
  <c r="H12" i="5"/>
  <c r="H11" i="5"/>
  <c r="H10" i="5"/>
  <c r="H9" i="5"/>
  <c r="H8" i="5"/>
  <c r="H7" i="5"/>
  <c r="H6" i="5"/>
  <c r="H5" i="5"/>
  <c r="H4" i="5"/>
</calcChain>
</file>

<file path=xl/sharedStrings.xml><?xml version="1.0" encoding="utf-8"?>
<sst xmlns="http://schemas.openxmlformats.org/spreadsheetml/2006/main" count="1545" uniqueCount="918">
  <si>
    <t>SendCleared — Daily Outreach Playbook  |  1 Hour / Day</t>
  </si>
  <si>
    <t>Goal: 15-20 LinkedIn actions + 1 content piece + 3-5 community touches per day → drive approval-link signups (freelancers + agencies)</t>
  </si>
  <si>
    <t>Day</t>
  </si>
  <si>
    <t>Date</t>
  </si>
  <si>
    <t>Focus</t>
  </si>
  <si>
    <t>LinkedIn Actions (15-20)</t>
  </si>
  <si>
    <t>Content</t>
  </si>
  <si>
    <t>Community (Reddit/Indie Hackers)</t>
  </si>
  <si>
    <t>Email Follow-ups</t>
  </si>
  <si>
    <t>Done?</t>
  </si>
  <si>
    <t>Notes</t>
  </si>
  <si>
    <t>WEEK 1 — Foundation: warm up profile, join communities</t>
  </si>
  <si>
    <t>Optimise Upwork/LinkedIn profile + join 5 relevant communities</t>
  </si>
  <si>
    <t>Join r/emailmarketing, r/agency, r/freelance, Indie Hackers, 1 relevant Slack/Discord. Update headline to mention SendCleared.</t>
  </si>
  <si>
    <t>Write LinkedIn post: 'The £47 email mistake no one talks about' — soft intro, no hard sell</t>
  </si>
  <si>
    <t>Introduce yourself in each community — no pitching, just context</t>
  </si>
  <si>
    <t>—</t>
  </si>
  <si>
    <t>☐</t>
  </si>
  <si>
    <t>Agency target list — batch 1</t>
  </si>
  <si>
    <t>Send 10 connection requests to agency owners/account managers (Klaviyo/Mailchimp partner directories). Personalise each.</t>
  </si>
  <si>
    <t>Bookmark 5 recent threads about email QA/client approval to answer next week</t>
  </si>
  <si>
    <t>Freelancer audience — Upwork/LinkedIn</t>
  </si>
  <si>
    <t>Send 10 connection requests to freelance email marketers. Comment on 5 posts in freelance/agency groups.</t>
  </si>
  <si>
    <t>Write LinkedIn post: 'Why looks approved isn't the same as is approved' — educational</t>
  </si>
  <si>
    <t>Answer 1 community question about client sign-off on campaigns</t>
  </si>
  <si>
    <t>Direct outreach — agencies (batch 2)</t>
  </si>
  <si>
    <t>Send 10 personalised LinkedIn DMs to agency owners. Introduce yourself, ask about their approval process — DON'T pitch yet. 10 new connections.</t>
  </si>
  <si>
    <t>Post in a community: genuine tip on catching QA mistakes before send</t>
  </si>
  <si>
    <t>Follow-up day + freelancer batch 2</t>
  </si>
  <si>
    <t>Follow up Day 1-2 connections who haven't replied. Send 10 connection requests to freelance email marketers.</t>
  </si>
  <si>
    <t>Write community answer: 'Best way to get client sign-off on email campaigns' — detailed, link SendCleared</t>
  </si>
  <si>
    <t>WEEK 2 — Warm leads: first real pitches</t>
  </si>
  <si>
    <t>Pitch agencies who connected last week</t>
  </si>
  <si>
    <t>DM agencies from Day 4 who accepted: 'Happy to give you free access to try — QA + client approval in one link.' 10 new connections.</t>
  </si>
  <si>
    <t>LinkedIn post: 'How agencies lose client trust in one broken subject line' — soft mention</t>
  </si>
  <si>
    <t>Answer community question: 'How to prove a client approved an email campaign'</t>
  </si>
  <si>
    <t>Follow up Day 1 DMs (4 days later)</t>
  </si>
  <si>
    <t>Community — mixed engagement</t>
  </si>
  <si>
    <t>Comment helpfully on 10 posts in r/emailmarketing / r/agency. Send 10 connection requests to freelancers.</t>
  </si>
  <si>
    <t>Post in r/agency: brief mention of SendCleared in context of client approval</t>
  </si>
  <si>
    <t>Follow up Day 2 connections</t>
  </si>
  <si>
    <t>Freelancer outreach (batch 1)</t>
  </si>
  <si>
    <t>DM 10 freelancers connected last week: 'Ever have a client dispute what they approved? SendCleared gives you a clean audit trail.'</t>
  </si>
  <si>
    <t>LinkedIn post: 'The pre-send checklist top email agencies actually use' — practical, shareable</t>
  </si>
  <si>
    <t>Follow up Day 3 DMs</t>
  </si>
  <si>
    <t>Agency operations DMs</t>
  </si>
  <si>
    <t>DM 10 agency owners: 'If client sign-off is still happening over Slack/email, SendCleared gives you one link per campaign. Happy to set you up free.'</t>
  </si>
  <si>
    <t>Answer community question about approval workflows for agencies</t>
  </si>
  <si>
    <t>Follow up Day 4 connections</t>
  </si>
  <si>
    <t>Weekly review + follow-up sweep</t>
  </si>
  <si>
    <t>Review all week's DMs. Send follow-up #2 to non-responders. 10 new connections.</t>
  </si>
  <si>
    <t>Write blog post outline: 'What I learned reviewing 500 client emails before they went out'</t>
  </si>
  <si>
    <t>Check community replies, respond to comments</t>
  </si>
  <si>
    <t>Follow up Day 5 DMs</t>
  </si>
  <si>
    <t>WEEK 3 — Scale: community authority + agency batch 2</t>
  </si>
  <si>
    <t>Community blitz — QA and approval pain points</t>
  </si>
  <si>
    <t>10 new connections (mix freelancers + agency owners). Comment on 5 LinkedIn posts.</t>
  </si>
  <si>
    <t>LinkedIn post: 'The audit trail your client is quietly expecting' — high value</t>
  </si>
  <si>
    <t>Answer 3 community questions today, spaced 2 hours apart</t>
  </si>
  <si>
    <t>Follow up Week 1 non-responders (10-day follow-up)</t>
  </si>
  <si>
    <t>Indie Hackers — soft entry</t>
  </si>
  <si>
    <t>Find and join 2-3 relevant Slack/Discord communities for agencies. Lurk before posting. 10 LinkedIn connections.</t>
  </si>
  <si>
    <t>Post on Indie Hackers: build-in-public update, share early numbers</t>
  </si>
  <si>
    <t>Follow up Week 1 DMs (10 days)</t>
  </si>
  <si>
    <t>Freelancer/agency audience mix</t>
  </si>
  <si>
    <t>DM 10 freelancers or agency ops leads: 'If client sign-off is still 'reply to approve', SendCleared gives a clean, timestamped record. Free trial.' 10 connections.</t>
  </si>
  <si>
    <t>LinkedIn post: 'The 3 questions every client should ask before hitting send'</t>
  </si>
  <si>
    <t>Answer community question: 'best way to get client approval for email campaigns'</t>
  </si>
  <si>
    <t>Follow up Week 2 batch 1</t>
  </si>
  <si>
    <t>Multi-ESP / agency push</t>
  </si>
  <si>
    <t>DM 10 agencies managing multiple ESPs (Klaviyo + Mailchimp + ActiveCampaign). Mention ESP-agnostic approval hub angle. 10 connections.</t>
  </si>
  <si>
    <t>Post in relevant agency-ops community</t>
  </si>
  <si>
    <t>Follow up Week 2 batch 2</t>
  </si>
  <si>
    <t>Testimonial + referral ask</t>
  </si>
  <si>
    <t>DM/email any users who've tried SendCleared: ask for a quick testimonial + 'know any other agencies who'd find this useful?' 10 new connections.</t>
  </si>
  <si>
    <t>LinkedIn post: share a real use case or result (anonymise if needed)</t>
  </si>
  <si>
    <t>Follow up Week 2 non-responders</t>
  </si>
  <si>
    <t>WEEK 4 — Content compound: posts + answers building authority</t>
  </si>
  <si>
    <t>Community group posting — max reach</t>
  </si>
  <si>
    <t>Post SendCleared-relevant content inside 3 relevant groups/communities (not just your feed). 10 connections. Reply to all comments on previous posts.</t>
  </si>
  <si>
    <t>LinkedIn post: 'Why your ESP can't catch these 5 mistakes (but your process should)' — technical, high share value</t>
  </si>
  <si>
    <t>Answer community question: 'how to catch email QA mistakes before sending'</t>
  </si>
  <si>
    <t>Follow up Week 3 batch 1</t>
  </si>
  <si>
    <t>Cold email outreach — agencies (batch 1)</t>
  </si>
  <si>
    <t>Find 20 agency websites via Google/directories. Email 20 agencies: introduce SendCleared, offer free trial. Keep it personal.</t>
  </si>
  <si>
    <t>Post in agency community: client approval workflow tips</t>
  </si>
  <si>
    <t>Follow up Week 3 DMs</t>
  </si>
  <si>
    <t>Community — first soft post in new group</t>
  </si>
  <si>
    <t>In a new agency-ops Slack/Discord: post a genuinely helpful tip about client approval. No hard sell. Mention SendCleared naturally if asked. 10 LinkedIn connections.</t>
  </si>
  <si>
    <t>LinkedIn post: 'Why I built SendCleared' — founder story, drives trust and shares</t>
  </si>
  <si>
    <t>Follow up Week 3 non-responders</t>
  </si>
  <si>
    <t>ESP partner channel</t>
  </si>
  <si>
    <t>Search LinkedIn for Klaviyo/Mailchimp partners and bookkeeping-style agency directories. DM 10. 10 connections.</t>
  </si>
  <si>
    <t>Answer community question: 'best tool for multi-client email approval'</t>
  </si>
  <si>
    <t>Follow up cold email batch from Day 17 (2 days)</t>
  </si>
  <si>
    <t>Mid-programme review</t>
  </si>
  <si>
    <t>Audit: how many signups so far? Which channel converting best? Adjust Week 5-6 focus toward the winner. 10 connections.</t>
  </si>
  <si>
    <t>Write LinkedIn post: data/results post — '20 days of outreach, here's what I learned'</t>
  </si>
  <si>
    <t>Review and respond to all community comments</t>
  </si>
  <si>
    <t>Follow up all outstanding DMs</t>
  </si>
  <si>
    <t>WEEK 5 — Double down on what's working</t>
  </si>
  <si>
    <t>Agency email batch 2</t>
  </si>
  <si>
    <t>Send 20 more cold emails to agencies. Refine subject line based on Week 4 open rates. 10 connections.</t>
  </si>
  <si>
    <t>LinkedIn post: 'The email QA checklist we use before every send'</t>
  </si>
  <si>
    <t>Answer 2 community questions</t>
  </si>
  <si>
    <t>Follow up Week 4 email batch (4 days)</t>
  </si>
  <si>
    <t>Community mega-answer day</t>
  </si>
  <si>
    <t>Find the 5 highest-traffic threads about email QA/client approval. Write the single best answer on each. 10 connections.</t>
  </si>
  <si>
    <t>Post detailed 'from draft to approved' workflow post</t>
  </si>
  <si>
    <t>Follow up Week 4 DM batch</t>
  </si>
  <si>
    <t>LinkedIn carousel</t>
  </si>
  <si>
    <t>Create a carousel: '5 steps to a bulletproof email approval workflow' — highest engagement format on LinkedIn. 10 connections.</t>
  </si>
  <si>
    <t>LinkedIn carousel: approval workflow step-by-step</t>
  </si>
  <si>
    <t>Follow up Week 3 long-tail non-responders</t>
  </si>
  <si>
    <t>Partnership outreach — ESP/agency directories</t>
  </si>
  <si>
    <t>Email 5 directories or agency-focused newsletters about a guest post or listing. 10 LinkedIn connections.</t>
  </si>
  <si>
    <t>Draft guest post pitch for agency-ops blogs</t>
  </si>
  <si>
    <t>Answer community question: 'best email QA tool for agencies'</t>
  </si>
  <si>
    <t>Follow up Week 5 email batch (3 days)</t>
  </si>
  <si>
    <t>Referral programme soft launch</t>
  </si>
  <si>
    <t>DM existing users: 'For every agency you refer who signs up, I'll extend your plan free for a month.' 10 connections.</t>
  </si>
  <si>
    <t>LinkedIn post: announcing referral offer</t>
  </si>
  <si>
    <t>Sweep all outstanding follow-ups</t>
  </si>
  <si>
    <t>WEEK 6 — Harvest + system lock-in</t>
  </si>
  <si>
    <t>Convert warm leads — final push</t>
  </si>
  <si>
    <t>Revisit every lead who engaged but didn't convert. Personalised DM: 'Still happy to set you up with extended free access — takes 2 minutes.' 10 connections.</t>
  </si>
  <si>
    <t>LinkedIn post: 'Month 1 in numbers — what outreach actually drives signups'</t>
  </si>
  <si>
    <t>Respond to all outstanding community comments</t>
  </si>
  <si>
    <t>Final follow-up to all email campaigns</t>
  </si>
  <si>
    <t>Final agency email batch</t>
  </si>
  <si>
    <t>Send 20 final agency emails. Refine to best-performing subject line from Weeks 4-5. 10 connections.</t>
  </si>
  <si>
    <t>Post recap in agency community with SendCleared mention</t>
  </si>
  <si>
    <t>Follow up Week 6 batch 1 (1 day)</t>
  </si>
  <si>
    <t>Lock in top channels for Month 2</t>
  </si>
  <si>
    <t>Identify top 2 channels by signup conversion. Write a simple SOP for each so you can systematise Month 2. 10 connections.</t>
  </si>
  <si>
    <t>LinkedIn post: 'Here's exactly how I'm growing SendCleared with 1 hour a day'</t>
  </si>
  <si>
    <t>Follow up all Week 6 DMs</t>
  </si>
  <si>
    <t>Testimonial and case study push</t>
  </si>
  <si>
    <t>Email every trial user. Ask for: (a) testimonial, (b) upgrade to paid, (c) referral. 10 connections.</t>
  </si>
  <si>
    <t>Write LinkedIn post: user testimonial (with permission)</t>
  </si>
  <si>
    <t>Follow up Week 6 email batch</t>
  </si>
  <si>
    <t>Month 1 review + Month 2 plan</t>
  </si>
  <si>
    <t>Compile: total connections, DMs sent, emails sent, community answers, signups. Set Month 2 targets. 10 connections.</t>
  </si>
  <si>
    <t>Write Month 2 outreach plan (1 page doc)</t>
  </si>
  <si>
    <t>Final community posts — thank the communities</t>
  </si>
  <si>
    <t>Send final follow-up to any remaining warm leads</t>
  </si>
  <si>
    <t>SendCleared — Lead Tracker  |  Log every person you contact</t>
  </si>
  <si>
    <t>Status colour key:  🟢 Converted   🟡 Warm   🔴 Cold / No reply   ⚪ New</t>
  </si>
  <si>
    <t>ID</t>
  </si>
  <si>
    <t>Name</t>
  </si>
  <si>
    <t>Title / Role</t>
  </si>
  <si>
    <t>Company</t>
  </si>
  <si>
    <t>Segment</t>
  </si>
  <si>
    <t>Country</t>
  </si>
  <si>
    <t>Channel</t>
  </si>
  <si>
    <t>Contact Date</t>
  </si>
  <si>
    <t>Touch 1
(Date)</t>
  </si>
  <si>
    <t>Touch 2
(Date)</t>
  </si>
  <si>
    <t>Touch 3
(Date)</t>
  </si>
  <si>
    <t>Status</t>
  </si>
  <si>
    <t>Trial?</t>
  </si>
  <si>
    <t>Paid?</t>
  </si>
  <si>
    <t>Notes / Next Action</t>
  </si>
  <si>
    <t>Jordan Blake</t>
  </si>
  <si>
    <t>Founder</t>
  </si>
  <si>
    <t>Blake Digital</t>
  </si>
  <si>
    <t>Agency</t>
  </si>
  <si>
    <t>UK</t>
  </si>
  <si>
    <t>LinkedIn DM</t>
  </si>
  <si>
    <t>27 Jul 26</t>
  </si>
  <si>
    <t>31 Jul 26</t>
  </si>
  <si>
    <t>Warm</t>
  </si>
  <si>
    <t>Yes</t>
  </si>
  <si>
    <t>No</t>
  </si>
  <si>
    <t>EXAMPLE ROW — replace with a real contact. Trial started, follow up in 5 days re: pricing.</t>
  </si>
  <si>
    <t>SendCleared — Message Templates (Copy, Personalise, Send)</t>
  </si>
  <si>
    <t>LINKEDIN CONNECTION REQUEST</t>
  </si>
  <si>
    <t>Freelancer segment</t>
  </si>
  <si>
    <t>Agency segment</t>
  </si>
  <si>
    <t>Hi [Name], I run SendCleared, which gives agencies a single link for client approval on every campaign — plus a QA check before it goes out. Would love to connect given the client-facing work you do.</t>
  </si>
  <si>
    <t>FIRST DM — AFTER CONNECTING</t>
  </si>
  <si>
    <t>Freelancer — Touch 1</t>
  </si>
  <si>
    <t>Hi [Name], thanks for connecting! Quick question — when a client signs off on a campaign, is that a proper approval, or just a 'looks good' reply? We built SendCleared specifically to give freelancers a clean, timestamped approval link. Happy to set you up with free access if useful.</t>
  </si>
  <si>
    <t>Agency — Touch 1</t>
  </si>
  <si>
    <t>Hi [Name], thanks for connecting. Do your clients ever dispute what they actually approved on a send? SendCleared gives you one link per campaign — QA checked, client approved, fully logged. Happy to give you free access to try it.</t>
  </si>
  <si>
    <t>FOLLOW-UP DMs</t>
  </si>
  <si>
    <t>Touch 2 (Day +4) — No reply yet</t>
  </si>
  <si>
    <t>Hi [Name], just following up — happy to give you free access to try SendCleared, no strings attached. Takes 2 minutes to set up your first client. Would that be useful?</t>
  </si>
  <si>
    <t>Touch 3 (Day +10) — Final nudge</t>
  </si>
  <si>
    <t>Hi [Name], last message from me on this — if client approval or pre-send QA is ever a headache, SendCleared is there. Here's the link: sendcleared.com. Happy to answer any questions anytime.</t>
  </si>
  <si>
    <t>COLD EMAIL — AGENCIES</t>
  </si>
  <si>
    <t>Subject line options</t>
  </si>
  <si>
    <t>Option A: 'A single approval link for every campaign, any ESP'
Option B: 'Stop chasing client sign-off over Slack'
Option C: 'Pre-send QA + client approval, in one step'</t>
  </si>
  <si>
    <t>Email body</t>
  </si>
  <si>
    <t>COMMUNITY ANSWER TEMPLATE (Reddit / Indie Hackers / Slack)</t>
  </si>
  <si>
    <t>Structure for any 'how do you get client sign-off / catch mistakes before sending' thread</t>
  </si>
  <si>
    <t>Para 1: Acknowledge the pain — verbal or Slack-based approval doesn't hold up when a client disputes what they actually saw.
Para 2: Cover the common workarounds briefly (screenshot + reply-all, shared docs) and their limits.
Para 3: Mention tools including SendCleared — 'I've been using SendCleared (sendcleared.com), which generates a branded approval link with a timestamped record — handles the QA and the sign-off in one step.'
Para 4: Practical tip about keeping a record even without a tool (e.g. a dated screenshot at minimum).
Keep it 150-250 words. Don't make the SendCleared mention the focus — make the answer genuinely helpful.</t>
  </si>
  <si>
    <t>SendCleared — LinkedIn Requests</t>
  </si>
  <si>
    <t>Agency segment — profile URL</t>
  </si>
  <si>
    <t>Date sent</t>
  </si>
  <si>
    <t>Follow up</t>
  </si>
  <si>
    <t>Freelancer segment — profile URL</t>
  </si>
  <si>
    <t>https://www.linkedin.com/in/example-agency-owner/</t>
  </si>
  <si>
    <t>EXAMPLE — paste real profile URLs below</t>
  </si>
  <si>
    <t>https://www.linkedin.com/in/example-freelancer/</t>
  </si>
  <si>
    <t>LinkedIn search — agencies</t>
  </si>
  <si>
    <t>LinkedIn search — freelancers</t>
  </si>
  <si>
    <t>https://www.linkedin.com/search/results/people/?keywords=email%20marketing%20agency%20owner</t>
  </si>
  <si>
    <t>https://www.linkedin.com/search/results/people/?keywords=freelance%20email%20marketer</t>
  </si>
  <si>
    <t>SendCleared — Weekly Outreach Scoreboard</t>
  </si>
  <si>
    <t>Metric</t>
  </si>
  <si>
    <t>Week 1</t>
  </si>
  <si>
    <t>Week 2</t>
  </si>
  <si>
    <t>Week 3</t>
  </si>
  <si>
    <t>Week 4</t>
  </si>
  <si>
    <t>Week 5</t>
  </si>
  <si>
    <t>Week 6</t>
  </si>
  <si>
    <t>TOTAL</t>
  </si>
  <si>
    <t>Target</t>
  </si>
  <si>
    <t>LinkedIn Connections Sent</t>
  </si>
  <si>
    <t>LinkedIn Connections Accepted</t>
  </si>
  <si>
    <t>LinkedIn DMs Sent</t>
  </si>
  <si>
    <t>DMs Replied</t>
  </si>
  <si>
    <t>Cold Emails Sent</t>
  </si>
  <si>
    <t>Email Replies</t>
  </si>
  <si>
    <t>Community Answers Posted</t>
  </si>
  <si>
    <t>LinkedIn Posts Published</t>
  </si>
  <si>
    <t>Trial Sign-ups (from outreach)</t>
  </si>
  <si>
    <t>Paid Conversions</t>
  </si>
  <si>
    <t>⚠️  Blue cells are weekly actuals — fill in each Friday. Targets assume ~1 hour/day outreach. If a channel is converting well, shift volume toward it and adjust next week's targets.</t>
  </si>
  <si>
    <t>SendCleared — Channel Strategy &amp; Rules of Engagement</t>
  </si>
  <si>
    <t>Time Budget</t>
  </si>
  <si>
    <t>Weekly Volume</t>
  </si>
  <si>
    <t>What Works</t>
  </si>
  <si>
    <t>What to Avoid</t>
  </si>
  <si>
    <t>When to Escalate</t>
  </si>
  <si>
    <t>Tool Needed?</t>
  </si>
  <si>
    <t>LinkedIn DMs</t>
  </si>
  <si>
    <t>15 min/day</t>
  </si>
  <si>
    <t>10-15 DMs</t>
  </si>
  <si>
    <t>Ultra-personal: name their ESP or a specific pain (client disputes, Slack chaos). Ask a question first — don't pitch in the first DM.</t>
  </si>
  <si>
    <t>Generic copy-paste. Mentioning SendCleared in the connection request. Sending 3 follow-ups.</t>
  </si>
  <si>
    <t>If &gt;5 replies/week → increase volume</t>
  </si>
  <si>
    <t>LinkedIn Sales Nav (Month 2 if budget allows)</t>
  </si>
  <si>
    <t>LinkedIn Posts</t>
  </si>
  <si>
    <t>10 min/day</t>
  </si>
  <si>
    <t>1 post every 2 days</t>
  </si>
  <si>
    <t>Educational content, practical checklists, founder story. QA-mistake and approval-accountability angles.</t>
  </si>
  <si>
    <t>Pure product promotion. Too many hashtags. Posting and disappearing — reply to every comment.</t>
  </si>
  <si>
    <t>If post gets &gt;500 views → write a follow-up post on same topic</t>
  </si>
  <si>
    <t>None — just LinkedIn native</t>
  </si>
  <si>
    <t>LinkedIn Groups</t>
  </si>
  <si>
    <t>5 min/day</t>
  </si>
  <si>
    <t>5-10 comments</t>
  </si>
  <si>
    <t>Comment helpfully on others' posts before promoting. Join conversations — don't start with a pitch.</t>
  </si>
  <si>
    <t>Dropping links without context. Self-promotion in groups that ban it.</t>
  </si>
  <si>
    <t>If group member messages you → fast-track to DM flow</t>
  </si>
  <si>
    <t>Cold Email</t>
  </si>
  <si>
    <t>20 emails/day (4 days/week)</t>
  </si>
  <si>
    <t>Short, personal, clear offer (free trial). Subject line specific to their ESP or client-approval pain.</t>
  </si>
  <si>
    <t>Long emails. Attachments. BCC blasts. Following up more than twice.</t>
  </si>
  <si>
    <t>If reply rate &gt;10% → double the volume</t>
  </si>
  <si>
    <t>Gmail tracker (Streak or Mailtrack — free tier fine)</t>
  </si>
  <si>
    <t>Reddit / Indie Hackers</t>
  </si>
  <si>
    <t>1-2 answers/day</t>
  </si>
  <si>
    <t>Write the best answer on the thread. 150-250 words. SendCleared mention natural, not leading.</t>
  </si>
  <si>
    <t>Thin answers. Dropping just a link. Answering questions with 0 engagement.</t>
  </si>
  <si>
    <t>If answer gets traction → update it and share on LinkedIn</t>
  </si>
  <si>
    <t>Agency/ESP Slack &amp; Discord communities</t>
  </si>
  <si>
    <t>5 min/day (lurk first)</t>
  </si>
  <si>
    <t>1 genuine post/week max</t>
  </si>
  <si>
    <t>Answer questions helpfully for 1-2 weeks before mentioning any tool. Build trust first.</t>
  </si>
  <si>
    <t>Spamming groups. Posting without reading group rules. Mentioning SendCleared in first post.</t>
  </si>
  <si>
    <t>If someone DMs asking for recommendations → send them to SendCleared directly</t>
  </si>
  <si>
    <t>Directories / Listings</t>
  </si>
  <si>
    <t>10 min/day (batched)</t>
  </si>
  <si>
    <t>2-3 submissions/week</t>
  </si>
  <si>
    <t>Target 'best tools for agencies' roundups and ESP partner directories (Klaviyo, Mailchimp).</t>
  </si>
  <si>
    <t>Low-quality directories with no real traffic. Paying for placement before validating referral quality.</t>
  </si>
  <si>
    <t>If a listing sends real signups → prioritise similar ones</t>
  </si>
  <si>
    <t>SendCleared — Community Question Bank (Reddit / Indie Hackers / Slack)</t>
  </si>
  <si>
    <t>Template answers for the question types you'll typically see — adapt with the real thread's wording before posting.</t>
  </si>
  <si>
    <t>Question type</t>
  </si>
  <si>
    <t>Draft answer (adapt before posting)</t>
  </si>
  <si>
    <t>Date answered</t>
  </si>
  <si>
    <t>How do you actually get client sign-off on an email campaign before it sends?</t>
  </si>
  <si>
    <t>Most teams end up with sign-off buried in a Slack thread or a 'looks good' reply — which works fine until a client disputes what they actually saw. A cleaner approach is a dedicated approval link: the client reviews the exact rendered email, approves or requests changes, and that action gets a timestamp and a name attached. I've been using SendCleared (sendcleared.com) for this — it also runs a QA check before the client even sees it, so obvious mistakes (broken merge tags, missing alt text) get caught first. Whatever tool you use, the key is having something more durable than a chat message as your record.</t>
  </si>
  <si>
    <t>What's the best way to catch mistakes in an email before it goes out to the whole list?</t>
  </si>
  <si>
    <t>A mix of manual checklist and automated checks works best. Manually: check the subject line and preview text render correctly, click every link, check the unsubscribe and physical address are present. Automated: tools like SendCleared (sendcleared.com) run this as a pre-send QA pass — checking merge tags, broken links, missing alt text, and spam triggers — which catches the stuff that's easy to miss under deadline pressure. Either way, build the check into your process as a required step, not an optional one.</t>
  </si>
  <si>
    <t>We manage multiple clients across different ESPs (Klaviyo, Mailchimp, etc.) — is there a way to centralise approvals?</t>
  </si>
  <si>
    <t>This is a common pain once you're past 2-3 clients on different platforms — each ESP has its own (or no) approval mechanism, so you end up with a different process per client. A platform-agnostic approval layer sits on top of whichever ESP the client uses, so your team has one consistent workflow regardless of the backend. SendCleared (sendcleared.com) works this way — it ingests the campaign via a forwarded test send, so it doesn't care which ESP you're on. Worth looking at if the fragmentation is slowing your team down.</t>
  </si>
  <si>
    <t>How do freelancers prove to clients that an email was reviewed properly before sending?</t>
  </si>
  <si>
    <t>A dated screenshot of your own checklist is the bare minimum, but it's not much of a record if a client pushes back later. A better approach is a client-facing approval step — they see the actual rendered email and click approve themselves, which creates a natural audit trail without extra admin on your end. I use SendCleared (sendcleared.com) for this — it also gives the client a branded page rather than a random link, which reads as more professional than a Slack message.</t>
  </si>
  <si>
    <t>SendCleared — Community Posts Log</t>
  </si>
  <si>
    <t>Post URL</t>
  </si>
  <si>
    <t>Outcome / Notes</t>
  </si>
  <si>
    <t>https://www.reddit.com/r/agency/comments/example_post/</t>
  </si>
  <si>
    <t>EXAMPLE — 40 upvotes, 2 DMs from agency owners, 1 signup</t>
  </si>
  <si>
    <t>https://www.linkedin.com/in/dikshikaroutray/</t>
  </si>
  <si>
    <t>https://www.linkedin.com/in/dhikrullah-abimbola-07062a191/</t>
  </si>
  <si>
    <t>https://www.linkedin.com/in/imuhammadmuneeb/</t>
  </si>
  <si>
    <t>https://www.linkedin.com/in/nils-g-08583421a/</t>
  </si>
  <si>
    <t>https://www.linkedin.com/in/ali-hassan-6aa1571ba/</t>
  </si>
  <si>
    <t>https://www.linkedin.com/in/milica-botha-42770b164/</t>
  </si>
  <si>
    <t>https://www.linkedin.com/in/tomseebold/</t>
  </si>
  <si>
    <t>https://www.linkedin.com/in/tom-nguyen-411911371/</t>
  </si>
  <si>
    <t>https://www.linkedin.com/in/wiktoria-wilczy%C5%84ska-3850ba162/</t>
  </si>
  <si>
    <t>https://www.linkedin.com/in/aaronmagalong/</t>
  </si>
  <si>
    <t>https://www.linkedin.com/in/hannahspicer/</t>
  </si>
  <si>
    <t>https://www.linkedin.com/in/pablo-mart%C3%ADnez-emailmarketing-ecommerce/</t>
  </si>
  <si>
    <t>https://www.linkedin.com/in/rhysalanharris/</t>
  </si>
  <si>
    <t>https://www.linkedin.com/in/jack-squire/</t>
  </si>
  <si>
    <t>https://www.linkedin.com/in/diego-de-sevilla-acosta-2b9304284/</t>
  </si>
  <si>
    <t>https://www.linkedin.com/in/michelle-young-36468a20/</t>
  </si>
  <si>
    <t>https://www.linkedin.com/in/dantabaran/</t>
  </si>
  <si>
    <t>https://www.linkedin.com/in/olimpia-valentina-chiriacescu/</t>
  </si>
  <si>
    <t>https://www.linkedin.com/in/peter-nwede-483597259/</t>
  </si>
  <si>
    <t>https://www.linkedin.com/in/haseeb-ahmedd/</t>
  </si>
  <si>
    <t>https://www.linkedin.com/in/antony-newbold-hazebrooke-copywriting/</t>
  </si>
  <si>
    <t>https://www.linkedin.com/in/sonaton-emaildeveloper/</t>
  </si>
  <si>
    <t>https://www.linkedin.com/in/pireland1/</t>
  </si>
  <si>
    <t>https://www.linkedin.com/in/tais-tomazoni-997720ab/</t>
  </si>
  <si>
    <t>https://www.linkedin.com/in/emmahwm/</t>
  </si>
  <si>
    <t>https://www.linkedin.com/in/holinessgodrey/</t>
  </si>
  <si>
    <t>https://www.linkedin.com/in/natashasweiss/</t>
  </si>
  <si>
    <t>https://www.linkedin.com/in/abdulmomen1/</t>
  </si>
  <si>
    <t>https://www.linkedin.com/in/anthony-hilary-715036232/</t>
  </si>
  <si>
    <t>https://www.linkedin.com/in/elrize-erasmus-43883a1a5/</t>
  </si>
  <si>
    <t>https://www.linkedin.com/in/luc-de-bruin-9813a695/</t>
  </si>
  <si>
    <t>https://www.linkedin.com/in/akingkiwi/</t>
  </si>
  <si>
    <t>https://www.linkedin.com/in/neha-gupta-0a20bb147/</t>
  </si>
  <si>
    <t>https://www.linkedin.com/in/hamza-bukhari-953b3b257/</t>
  </si>
  <si>
    <t>https://www.linkedin.com/in/mohitkumar7/</t>
  </si>
  <si>
    <t>https://www.linkedin.com/in/tehseen-arbab-0b15aa1ab/</t>
  </si>
  <si>
    <t>https://www.linkedin.com/in/chirag-kotadiya-622058140/</t>
  </si>
  <si>
    <t>https://www.linkedin.com/in/peter-kim-1a31a7244/</t>
  </si>
  <si>
    <t>https://www.linkedin.com/in/towfiqul-alam/</t>
  </si>
  <si>
    <t>https://www.linkedin.com/in/olivia-tildesley-278aa182/</t>
  </si>
  <si>
    <t>https://www.linkedin.com/in/narmin-fraint-b762a4210/</t>
  </si>
  <si>
    <t>https://www.linkedin.com/in/wassif-a-a63a8330/</t>
  </si>
  <si>
    <t>https://www.linkedin.com/in/rachel-j-79296b129/</t>
  </si>
  <si>
    <t>https://www.linkedin.com/in/oviakpojotor/</t>
  </si>
  <si>
    <t>https://www.linkedin.com/in/williamconsult/</t>
  </si>
  <si>
    <t>https://www.linkedin.com/in/judithjornetgomez-salesforce/</t>
  </si>
  <si>
    <t>https://www.linkedin.com/in/aranchagomezarranz/</t>
  </si>
  <si>
    <t>https://www.linkedin.com/in/yurii-zuban/</t>
  </si>
  <si>
    <t>https://www.linkedin.com/in/lana-williams-9b4442b8/</t>
  </si>
  <si>
    <t>https://www.linkedin.com/in/shaun-reynolds-email-marketing/</t>
  </si>
  <si>
    <t>https://www.linkedin.com/in/kate-reeves-0b068a3a/</t>
  </si>
  <si>
    <t>https://www.linkedin.com/in/sylvester-swea-b2a1b87b/</t>
  </si>
  <si>
    <t>https://www.linkedin.com/in/louise-rebecca-thomas/</t>
  </si>
  <si>
    <t>SendCleared — Outreach Emails &amp; Follow-Up Sequence</t>
  </si>
  <si>
    <t>Copy, personalise the [bracketed] fields, and send. Timing shown is days after the previous email if no reply.</t>
  </si>
  <si>
    <t>FREELANCER SEGMENT</t>
  </si>
  <si>
    <t>AGENCY SEGMENT</t>
  </si>
  <si>
    <t>EMAIL 1 — INITIAL OUTREACH (Day 0)</t>
  </si>
  <si>
    <t>A) "Quick one re: client sign-off on your campaigns"
B) "Ever had a client dispute what they approved?"
C) "A cleaner way to get client sign-off"</t>
  </si>
  <si>
    <t>A) "A single approval link for every campaign, any ESP"
B) "Stop chasing client sign-off over Slack"
C) "Pre-send QA + client approval, in one step"</t>
  </si>
  <si>
    <t>Body</t>
  </si>
  <si>
    <t>Hi [Name],
I'm the founder of SendCleared (sendcleared.com) — it runs a QA check on every email campaign and gets client sign-off through a single branded link, regardless of which ESP you use.
I thought this might save your account managers the back-and-forth of chasing approval over Slack or email threads — especially if you're running campaigns across more than one ESP.
I'd love to give your agency free access to try it — no credit card, no commitment. Would that be useful? Happy to jump on a 10-minute call too.
Best,
[Your name]</t>
  </si>
  <si>
    <t>EMAIL 2 — FOLLOW-UP 1 (Day +4, if no reply)</t>
  </si>
  <si>
    <t>Subject line</t>
  </si>
  <si>
    <t>Re: Quick one re: client sign-off on your campaigns</t>
  </si>
  <si>
    <t>Re: A single approval link for every campaign, any ESP</t>
  </si>
  <si>
    <t>Hi [Name],
Following up on my note below — happy to set your agency up with free access to SendCleared, no strings attached. Takes a few minutes to add your first client.
Let me know if it's useful, or if now's just not the right time.
Best,
[Your name]</t>
  </si>
  <si>
    <t>EMAIL 3 — FOLLOW-UP 2 / FINAL NUDGE (Day +10, if no reply)</t>
  </si>
  <si>
    <t>Last note from me on this</t>
  </si>
  <si>
    <t>One last thought, then I'll leave it there</t>
  </si>
  <si>
    <t>Hi [Name],
Last message from me on this one — if pre-send QA or client sign-off is ever a headache, SendCleared is there whenever it's useful: sendcleared.com.
Happy to answer any questions any time, no follow-up needed from you.
Best,
[Your name]</t>
  </si>
  <si>
    <t>Hi [Name],
Last note from me — if client approval or juggling QA across ESPs ever becomes a pain point, SendCleared is there: sendcleared.com. Free to try whenever it's useful.
All the best with the agency's work either way.
[Your name]</t>
  </si>
  <si>
    <t>EMAIL 4 — TRIAL / WARM LEAD NUDGE (send once someone has started a free trial but hasn't sent a campaign)</t>
  </si>
  <si>
    <t>Anything I can help set up?</t>
  </si>
  <si>
    <t>Hi [Name],
Saw you signed up for SendCleared — happy to help get your first client's inbox address connected if that'd save you time, or answer any questions about how the QA report works.
Just reply here and I'll sort it.
Best,
[Your name]</t>
  </si>
  <si>
    <t>Hi [Name],
Saw your team signed up for SendCleared — happy to help onboard your first couple of clients, or walk through the QA report and approval flow with your account managers if useful.
Just reply here and I'll get it set up.
Best,
[Your name]</t>
  </si>
  <si>
    <t>EMAIL 5 — REFERRAL ASK (send to active/paying users)</t>
  </si>
  <si>
    <t>Quick favour, if you don't mind</t>
  </si>
  <si>
    <t>Hi [Name],
Glad SendCleared's been useful. Quick ask — know any other freelancers who deal with the same client-approval headache? For every referral who signs up, I'll extend your plan free for a month.
No worries at all if not — just thought I'd ask.
Best,
[Your name]</t>
  </si>
  <si>
    <t>Hi [Name],
Glad SendCleared's been working well for your team. Quick ask — know any other agencies dealing with the same client sign-off chaos? For every referral who signs up, I'll extend your plan free for a month.
No worries if not — just thought I'd ask.
Best,
[Your name]</t>
  </si>
  <si>
    <t>LinkedIn Content Plan — 10 articles</t>
  </si>
  <si>
    <t>Scheduled into the Daily Plan tab (Monday content slots) across weeks 1-8</t>
  </si>
  <si>
    <t>#</t>
  </si>
  <si>
    <t>Title</t>
  </si>
  <si>
    <t>Pillar</t>
  </si>
  <si>
    <t>Angle / hook</t>
  </si>
  <si>
    <t>Scheduled week</t>
  </si>
  <si>
    <t>The £47 email mistake no one talks about</t>
  </si>
  <si>
    <t>QA / mistakes</t>
  </si>
  <si>
    <t>A single unresolved merge tag or broken link, multiplied across a whole list — the real cost of skipping QA.</t>
  </si>
  <si>
    <t>Not started</t>
  </si>
  <si>
    <t>Why 'looks approved' isn't the same as 'is approved'</t>
  </si>
  <si>
    <t>Approval / accountability</t>
  </si>
  <si>
    <t>The gap between a client skimming a Slack message and a client actually reviewing the send.</t>
  </si>
  <si>
    <t>The 3 questions every client should ask before hitting send</t>
  </si>
  <si>
    <t>A short, shareable checklist clients can use — positions the agency as the one who already asks these.</t>
  </si>
  <si>
    <t>What I learned reviewing 500 client emails before they went out</t>
  </si>
  <si>
    <t>Pattern-based lessons from common QA failures — broken personalization, missing alt text, bad preview text.</t>
  </si>
  <si>
    <t>The hidden cost of 'just reply-all to approve'</t>
  </si>
  <si>
    <t>Why informal approval chains create disputes later, and what a real audit trail looks like.</t>
  </si>
  <si>
    <t>How agencies lose client trust in one broken subject line</t>
  </si>
  <si>
    <t>Agency operations / trust</t>
  </si>
  <si>
    <t>A single visible mistake and its outsized effect on a client relationship.</t>
  </si>
  <si>
    <t>The pre-send checklist top email agencies actually use</t>
  </si>
  <si>
    <t>A practical, tactical checklist post — highly shareable, doubles as a lead magnet.</t>
  </si>
  <si>
    <t>Why your ESP can't catch these 5 mistakes (but your process should)</t>
  </si>
  <si>
    <t>ESPs check deliverability, not content accuracy — the gap that pre-send QA fills.</t>
  </si>
  <si>
    <t>The audit trail your client is quietly expecting</t>
  </si>
  <si>
    <t>Clients increasingly expect proof of sign-off, especially after a mistake elsewhere burns them.</t>
  </si>
  <si>
    <t>Week 7</t>
  </si>
  <si>
    <t>From draft to approved: what a modern email workflow actually looks like</t>
  </si>
  <si>
    <t>End-to-end narrative post — draft, QA, client approval link, send. Good for late-plan, when case studies exist.</t>
  </si>
  <si>
    <t>Week 8</t>
  </si>
  <si>
    <t>Profile</t>
  </si>
  <si>
    <t>Tehseen Arbab</t>
  </si>
  <si>
    <t>Chirag Kotadiya</t>
  </si>
  <si>
    <t>Peter Kim</t>
  </si>
  <si>
    <t>Type</t>
  </si>
  <si>
    <t>Freelancer</t>
  </si>
  <si>
    <t>Towfiqul Alam</t>
  </si>
  <si>
    <t>Olivia Tildesley</t>
  </si>
  <si>
    <t>Client</t>
  </si>
  <si>
    <t>Narmin Fraint</t>
  </si>
  <si>
    <t>Wassif A</t>
  </si>
  <si>
    <t>Rachel Johnson</t>
  </si>
  <si>
    <t>Ovi Akpojotor</t>
  </si>
  <si>
    <t>William Ma</t>
  </si>
  <si>
    <t>Judith Jornet Gomez</t>
  </si>
  <si>
    <t>Arancha Gómez</t>
  </si>
  <si>
    <t>Nils Goldingers</t>
  </si>
  <si>
    <t>Ali Hassan</t>
  </si>
  <si>
    <t>Wiktoria Wilczyńska</t>
  </si>
  <si>
    <t>Aaron Magalong</t>
  </si>
  <si>
    <t>Hannah Spicer</t>
  </si>
  <si>
    <t>Holiness Godfrey</t>
  </si>
  <si>
    <t>Luc de Bruin</t>
  </si>
  <si>
    <t>Hamza Bukhari</t>
  </si>
  <si>
    <t>Yurii Zuban</t>
  </si>
  <si>
    <t>Lana Williams</t>
  </si>
  <si>
    <t>Shaun Reynolds</t>
  </si>
  <si>
    <t>Kate Reeves</t>
  </si>
  <si>
    <t>Sylvester Swea</t>
  </si>
  <si>
    <t>Louise Rebecca Thomas</t>
  </si>
  <si>
    <t>https://www.linkedin.com/in/victoriaapg1/</t>
  </si>
  <si>
    <t>https://www.linkedin.com/in/queenofcrm/</t>
  </si>
  <si>
    <t>https://www.linkedin.com/in/carmenemailmarketing/</t>
  </si>
  <si>
    <t>Carmen Lee</t>
  </si>
  <si>
    <t>Margaret Ward</t>
  </si>
  <si>
    <t>https://www.linkedin.com/in/margaret-ward-/</t>
  </si>
  <si>
    <t>https://www.linkedin.com/in/kehammond1/</t>
  </si>
  <si>
    <t>Kate Hammond</t>
  </si>
  <si>
    <t>https://www.linkedin.com/in/chloe-mcleod-16841968/</t>
  </si>
  <si>
    <t>Chloe McLeod</t>
  </si>
  <si>
    <t>https://www.linkedin.com/in/astra-tsangaris/</t>
  </si>
  <si>
    <t>Astra Tsangaris</t>
  </si>
  <si>
    <t>https://www.linkedin.com/in/zoelacey/</t>
  </si>
  <si>
    <t>Zoe Lacey</t>
  </si>
  <si>
    <t>https://www.linkedin.com/in/naomimdavies/</t>
  </si>
  <si>
    <t>Naomi Davies</t>
  </si>
  <si>
    <t>Phil Ireland</t>
  </si>
  <si>
    <t>https://www.linkedin.com/in/sarah-brereton-b0199935/</t>
  </si>
  <si>
    <t>Sarah Brereton</t>
  </si>
  <si>
    <t>Victoria ap Gwynedd</t>
  </si>
  <si>
    <t>Beth O'Malley</t>
  </si>
  <si>
    <t>https://www.linkedin.com/in/allanheo/</t>
  </si>
  <si>
    <t>Allan Heo</t>
  </si>
  <si>
    <t>https://www.linkedin.com/in/vernesacutuk/</t>
  </si>
  <si>
    <t>https://www.linkedin.com/in/hsrivastava0205/</t>
  </si>
  <si>
    <t>Harshita Srivastava</t>
  </si>
  <si>
    <t>Vernesa Ćutuk</t>
  </si>
  <si>
    <t>https://www.linkedin.com/in/karantibdewal/</t>
  </si>
  <si>
    <t>Karan Tibdewal</t>
  </si>
  <si>
    <t>https://www.linkedin.com/in/sean-duffy-crm-email-marketing/</t>
  </si>
  <si>
    <t>Sean Duffy</t>
  </si>
  <si>
    <t>https://www.linkedin.com/in/jeannejennings/</t>
  </si>
  <si>
    <t xml:space="preserve">Jeanne Jennings </t>
  </si>
  <si>
    <t>https://www.linkedin.com/in/kathpay/</t>
  </si>
  <si>
    <t>Kath Pay</t>
  </si>
  <si>
    <t xml:space="preserve"> </t>
  </si>
  <si>
    <t>Israa A.</t>
  </si>
  <si>
    <t>https://www.linkedin.com/in/israaa/</t>
  </si>
  <si>
    <t>ABDUL MOMEN</t>
  </si>
  <si>
    <t>Andrew King</t>
  </si>
  <si>
    <t>Anthony Hilary</t>
  </si>
  <si>
    <t>Antony Newbold</t>
  </si>
  <si>
    <t>Dan Tabaran</t>
  </si>
  <si>
    <t>Dhikrullah Abimbola</t>
  </si>
  <si>
    <t>Diego De Sevilla Acosta</t>
  </si>
  <si>
    <t>Dikshika Routray</t>
  </si>
  <si>
    <t>Elrize Erasmus</t>
  </si>
  <si>
    <t>Emma Thao Nguyen</t>
  </si>
  <si>
    <t>Haseeb Ahmed</t>
  </si>
  <si>
    <t>Muhammad Muneeb</t>
  </si>
  <si>
    <t>Jack Squire</t>
  </si>
  <si>
    <t>Michelle Young</t>
  </si>
  <si>
    <t>Milica Botha</t>
  </si>
  <si>
    <t>Mohit Kumar</t>
  </si>
  <si>
    <t>Natasha Weiss</t>
  </si>
  <si>
    <t>Neha Gupta</t>
  </si>
  <si>
    <t>Olimpia Valentina Chiriacescu</t>
  </si>
  <si>
    <t>Pablo Martínez</t>
  </si>
  <si>
    <t>Peter Nwede</t>
  </si>
  <si>
    <t>Rhys Harris</t>
  </si>
  <si>
    <t>Sonaton Mondol</t>
  </si>
  <si>
    <t>Tais Tomazoni</t>
  </si>
  <si>
    <t>Tom Nguyen</t>
  </si>
  <si>
    <t>Tom Seebold</t>
  </si>
  <si>
    <t>Hi [Name],
I noticed you do email marketing for clients — quick question: when a client signs off on a campaign, is that a proper approval, or more of a "looks good" reply over email or Slack?
We built  SendCleared (sendcleared.com) to give freelancers a clean, timestamped approval link instead — it also runs a quick 14 point QA check before the client even sees it (broken links, missing alt text, personalization errors).
a free trial is available to try on your next campaign — no card, no commitment. Would that be useful?
Best,
[Your name]</t>
  </si>
  <si>
    <t>Hi [Name],
Just floating this back up in case it got buried. Free access to SendCleared.com is still open if useful — takes about 2 minutes to set up your first client, and works with whatever ESP you're using.
I attached a quick one pager for you. No pressure either way — let me know if it's not a fit right now.
Best,
[Your name]</t>
  </si>
  <si>
    <t>https://www.linkedin.com/in/lauren-barrett-708166163/</t>
  </si>
  <si>
    <t>Lauren Barrett</t>
  </si>
  <si>
    <t>https://www.linkedin.com/in/danielwilcox32/</t>
  </si>
  <si>
    <t>Daniel Wilcox</t>
  </si>
  <si>
    <t>https://www.linkedin.com/in/jayde-laws-929311128/</t>
  </si>
  <si>
    <t>Jayde Laws</t>
  </si>
  <si>
    <t>https://www.linkedin.com/in/george-lindh/</t>
  </si>
  <si>
    <t>George Lindh</t>
  </si>
  <si>
    <t xml:space="preserve">Cloudie Preuss </t>
  </si>
  <si>
    <t>https://www.linkedin.com/in/claudia-preuss-a4b310151/</t>
  </si>
  <si>
    <t>https://www.linkedin.com/in/janagardiner/</t>
  </si>
  <si>
    <t>Jana Gardiner</t>
  </si>
  <si>
    <t>https://www.linkedin.com/in/annettforcier/</t>
  </si>
  <si>
    <t>Annett Forcier</t>
  </si>
  <si>
    <t>https://www.linkedin.com/in/harringtonben/</t>
  </si>
  <si>
    <t>Ben Harrington</t>
  </si>
  <si>
    <t>https://www.linkedin.com/in/jaspervanlaethem/</t>
  </si>
  <si>
    <t>Jasper Van Laethem</t>
  </si>
  <si>
    <t>https://www.linkedin.com/company/email-love/</t>
  </si>
  <si>
    <t>https://www.linkedin.com/company/digitalmarketingcompanyagency/</t>
  </si>
  <si>
    <t>https://www.linkedin.com/company/repuvue/</t>
  </si>
  <si>
    <t>https://www.linkedin.com/company/aspen-marketing-services/</t>
  </si>
  <si>
    <t>https://www.linkedin.com/company/alpha-co-marketing-media/</t>
  </si>
  <si>
    <t>https://www.linkedin.com/company/marlomarketing/</t>
  </si>
  <si>
    <t>https://www.linkedin.com/company/hiredigitalco/</t>
  </si>
  <si>
    <t>https://www.linkedin.com/company/mavlers/</t>
  </si>
  <si>
    <t>https://www.linkedin.com/company/vml/</t>
  </si>
  <si>
    <t>https://www.linkedin.com/company/digitalzoneb2b/</t>
  </si>
  <si>
    <t>https://www.linkedin.com/company/npdigital/</t>
  </si>
  <si>
    <t>https://www.linkedin.com/company/elliot-digital/</t>
  </si>
  <si>
    <t>https://www.linkedin.com/company/flowium/</t>
  </si>
  <si>
    <t>https://www.linkedin.com/company/optimailonline/</t>
  </si>
  <si>
    <t>https://www.linkedin.com/company/email-agency/</t>
  </si>
  <si>
    <t>https://www.linkedin.com/company/chronosagency/</t>
  </si>
  <si>
    <t>https://www.linkedin.com/company/email-data-group/</t>
  </si>
  <si>
    <t>https://www.linkedin.com/company/b2i-digital/</t>
  </si>
  <si>
    <t>https://www.linkedin.com/company/outcomes-rocket/</t>
  </si>
  <si>
    <t>https://www.linkedin.com/company/retention-dot-com/</t>
  </si>
  <si>
    <t>https://www.linkedin.com/company/brickmarketing/</t>
  </si>
  <si>
    <t>https://www.linkedin.com/company/hawkemedia/</t>
  </si>
  <si>
    <t>https://www.linkedin.com/company/risequadagency/</t>
  </si>
  <si>
    <t>https://www.linkedin.com/company/valasys-media/</t>
  </si>
  <si>
    <t>https://www.linkedin.com/company/apprise-marketing-services-ams/</t>
  </si>
  <si>
    <t>https://www.linkedin.com/company/lilosocial/</t>
  </si>
  <si>
    <t>Emailed (Linkedin)</t>
  </si>
  <si>
    <t>Hi [Name], I built SendCleared — a tool that runs a pre-send QA check and gets client sign-off on every email campaign, whatever ESP you use. Would love to connect with other email freelancers.</t>
  </si>
  <si>
    <t>Connect Request</t>
  </si>
  <si>
    <t>05.09.26</t>
  </si>
  <si>
    <t>07.09.26</t>
  </si>
  <si>
    <t>Hi [Name],
I'm the founder of SendCleared (sendcleared.com) — it runs a QA check on every email campaign and gets client sign-off through a single branded link, regardless of which ESP you use.
I thought this might save your account managers the back-and-forth of chasing approval over Slack or email threads.
There's a 14 day free trial available — no credit card, no commitment.
Would that be useful?
Best,
[Your name]</t>
  </si>
  <si>
    <t>Perfit Email Marketing</t>
  </si>
  <si>
    <t>https://www.linkedin.com/in/abril-herrera-dorna/</t>
  </si>
  <si>
    <t>Abril Herrera Dorna</t>
  </si>
  <si>
    <t>https://www.linkedin.com/in/mayra-altamirano-perfit/</t>
  </si>
  <si>
    <t>Mayra Altamirano</t>
  </si>
  <si>
    <t>https://www.linkedin.com/in/fernandezwalter/?locale=en</t>
  </si>
  <si>
    <t>Walter Fernández</t>
  </si>
  <si>
    <t>Selzy | Email Marketing</t>
  </si>
  <si>
    <t>https://www.linkedin.com/in/nataliia-hushkovska/</t>
  </si>
  <si>
    <t>Nataliia Hushkovska</t>
  </si>
  <si>
    <t>https://www.linkedin.com/in/alexkachalov/</t>
  </si>
  <si>
    <t>Alexey Kachalov</t>
  </si>
  <si>
    <t>https://www.linkedin.com/in/christine-hombrink/</t>
  </si>
  <si>
    <t>Robly Email Marketing</t>
  </si>
  <si>
    <t>Christine (Allen) Hombrink</t>
  </si>
  <si>
    <t>Email Marketing Solutions</t>
  </si>
  <si>
    <t>https://www.linkedin.com/in/betty-p-carpenter-503806154/</t>
  </si>
  <si>
    <t>https://www.linkedin.com/in/souhail-hadouch-226a22161/</t>
  </si>
  <si>
    <t>Rotney Jacob</t>
  </si>
  <si>
    <t>Betty P. Carpenter</t>
  </si>
  <si>
    <t>Souhail Hadouch</t>
  </si>
  <si>
    <t>https://www.linkedin.com/in/rotney-jacob-743744108/</t>
  </si>
  <si>
    <t>Insendra</t>
  </si>
  <si>
    <t>https://www.linkedin.com/in/jeremy-fleming-311b81198/</t>
  </si>
  <si>
    <t>Jeremy Fleming</t>
  </si>
  <si>
    <t>Essence of Email</t>
  </si>
  <si>
    <t>https://www.linkedin.com/in/xiaohuiw/</t>
  </si>
  <si>
    <t>Xiaohui "X" Wang</t>
  </si>
  <si>
    <t>https://www.linkedin.com/in/philip-mbwaya-ab593758/</t>
  </si>
  <si>
    <t>Philip Mbwaya</t>
  </si>
  <si>
    <t>https://www.linkedin.com/in/dabhi-bhumil-6427a01b7/</t>
  </si>
  <si>
    <t>Dabhi Bhumil</t>
  </si>
  <si>
    <t xml:space="preserve">Firedrum </t>
  </si>
  <si>
    <t>https://www.linkedin.com/in/daniel-anzalone/</t>
  </si>
  <si>
    <t>Daniel Anzalone</t>
  </si>
  <si>
    <t>Kevin Troendle</t>
  </si>
  <si>
    <t>https://www.linkedin.com/in/kevin-troendle-b3782a2b/</t>
  </si>
  <si>
    <t>The Email Marketers</t>
  </si>
  <si>
    <t>https://www.linkedin.com/in/adel-gouida-1aa4a61b8/</t>
  </si>
  <si>
    <t>Adel Gouida</t>
  </si>
  <si>
    <t>https://www.linkedin.com/in/aneela-rana-22120a31b/</t>
  </si>
  <si>
    <t>Aneela Rana</t>
  </si>
  <si>
    <t>https://www.linkedin.com/in/stevanovic-nenad/</t>
  </si>
  <si>
    <t>Nenad Stevanović</t>
  </si>
  <si>
    <t>Email Allstars</t>
  </si>
  <si>
    <t>https://www.linkedin.com/in/patricia-cabrera-768202179/</t>
  </si>
  <si>
    <t>Patricia Cabrera</t>
  </si>
  <si>
    <t>Email Industries</t>
  </si>
  <si>
    <t>https://www.linkedin.com/in/sriramgangs/</t>
  </si>
  <si>
    <t>Sriram G</t>
  </si>
  <si>
    <t>https://www.linkedin.com/in/rafsan-jamil-625842379/</t>
  </si>
  <si>
    <t>Rafsan Jamil</t>
  </si>
  <si>
    <t>Mavlers</t>
  </si>
  <si>
    <t>https://www.linkedin.com/in/rushabh-shah-8a8537143/</t>
  </si>
  <si>
    <t>Rushabh Shah</t>
  </si>
  <si>
    <t>Social Scout Email Marketing</t>
  </si>
  <si>
    <t>https://www.linkedin.com/in/tiernan-corcoran-6a65b4373/</t>
  </si>
  <si>
    <t>Tiernan Corcoran</t>
  </si>
  <si>
    <t>https://www.linkedin.com/in/monicanaidoo/</t>
  </si>
  <si>
    <t xml:space="preserve"> Mónica Naidoo</t>
  </si>
  <si>
    <t>https://www.linkedin.com/in/feryhdz/</t>
  </si>
  <si>
    <t>Maria Fernanda (Fery) Hernandez Diaz</t>
  </si>
  <si>
    <t>https://www.linkedin.com/in/mariamarafante/</t>
  </si>
  <si>
    <t>Maria M</t>
  </si>
  <si>
    <t>https://www.linkedin.com/in/mayur-prajapati-4a7b86256/</t>
  </si>
  <si>
    <t>Mayur Prajapati</t>
  </si>
  <si>
    <t>RankFast | Search Marketing Company</t>
  </si>
  <si>
    <t xml:space="preserve"> CANZ Marketing</t>
  </si>
  <si>
    <t>https://www.linkedin.com/in/christina-dali-7a5539210/</t>
  </si>
  <si>
    <t>Christina Dali</t>
  </si>
  <si>
    <t>https://www.linkedin.com/in/abby-bruke-95a273210/</t>
  </si>
  <si>
    <t>Abby Bruke</t>
  </si>
  <si>
    <t>No Limit Email</t>
  </si>
  <si>
    <t>https://www.linkedin.com/in/ecom-michael-galvin/</t>
  </si>
  <si>
    <t>Michael Galvin</t>
  </si>
  <si>
    <t>https://www.linkedin.com/in/tatiana-garcia-posada/</t>
  </si>
  <si>
    <t>Tatiana García Posada</t>
  </si>
  <si>
    <t>Benchmark Email</t>
  </si>
  <si>
    <t>https://www.linkedin.com/in/raquelherrerahdez/?locale=en</t>
  </si>
  <si>
    <t>Raquel Herrera Hernández</t>
  </si>
  <si>
    <t>https://www.linkedin.com/in/jessica-lunk-39391017/</t>
  </si>
  <si>
    <t>Jessica Lunk</t>
  </si>
  <si>
    <t>https://www.linkedin.com/in/daniela-canob/</t>
  </si>
  <si>
    <t>Daniela Cano</t>
  </si>
  <si>
    <t>https://www.linkedin.com/in/surender-kumar8/</t>
  </si>
  <si>
    <t>Surender Kumar</t>
  </si>
  <si>
    <t>https://www.linkedin.com/in/anna-rose-elkins-93baa011b/</t>
  </si>
  <si>
    <t>BAD Marketing</t>
  </si>
  <si>
    <t>Anna Rose Elkins</t>
  </si>
  <si>
    <t>https://www.linkedin.com/in/kelsey-carstens/</t>
  </si>
  <si>
    <t>Kelsey Carstens</t>
  </si>
  <si>
    <t>https://www.linkedin.com/in/peter-gonglach/</t>
  </si>
  <si>
    <t>Peter Gonglach</t>
  </si>
  <si>
    <t>RepuVue Marketing Agency</t>
  </si>
  <si>
    <t>https://www.linkedin.com/in/emily-godwin-84a57b74/</t>
  </si>
  <si>
    <t>Emily Godwin</t>
  </si>
  <si>
    <t>https://www.linkedin.com/in/angelaspeziale/</t>
  </si>
  <si>
    <t xml:space="preserve"> Angela Speziale</t>
  </si>
  <si>
    <t>Alpha Co. Marketing &amp; Media</t>
  </si>
  <si>
    <t>https://www.linkedin.com/in/ghulam-akbar-6273b3341/</t>
  </si>
  <si>
    <t>Ghulam Akbar</t>
  </si>
  <si>
    <t>https://www.linkedin.com/in/mat%C3%ADas-nahuel-rizzi-del-r%C3%ADo-b749aa18b/?locale=en</t>
  </si>
  <si>
    <t>Matías Nahuel Rizzi del Río</t>
  </si>
  <si>
    <t>Less Is Moore Email Marketing</t>
  </si>
  <si>
    <t>https://www.linkedin.com/in/ekeh-paul-2288a3215/</t>
  </si>
  <si>
    <t>Ekeh Paul</t>
  </si>
  <si>
    <t>https://www.linkedin.com/in/chloejpg/</t>
  </si>
  <si>
    <t>Chloe L</t>
  </si>
  <si>
    <t>https://www.linkedin.com/in/saad-chaudhry-/</t>
  </si>
  <si>
    <t>Saad Chaudhr</t>
  </si>
  <si>
    <t>Progressive Marketing</t>
  </si>
  <si>
    <t>Syed Manzar Hussain</t>
  </si>
  <si>
    <t>https://www.linkedin.com/in/manzar2000/</t>
  </si>
  <si>
    <t>SEO Content Plan — 3 pillars, 3 cornerstones, 12 cluster posts</t>
  </si>
  <si>
    <t>Each cornerstone is the pillar's cornerstone page; cluster posts link back to it. Ordered roughly TOFU → BOFU within each pillar.</t>
  </si>
  <si>
    <t>Target keyword</t>
  </si>
  <si>
    <t>Search intent</t>
  </si>
  <si>
    <t>Funnel stage</t>
  </si>
  <si>
    <t>Scheduled</t>
  </si>
  <si>
    <t>Pillar 1 — QA / mistakes</t>
  </si>
  <si>
    <t>Cornerstone</t>
  </si>
  <si>
    <t>The Email QA Checklist for Agencies and Freelancers</t>
  </si>
  <si>
    <t>email QA checklist</t>
  </si>
  <si>
    <t>Informational</t>
  </si>
  <si>
    <t>Week 2-3</t>
  </si>
  <si>
    <t>Cluster</t>
  </si>
  <si>
    <t>email personalization errors</t>
  </si>
  <si>
    <t>TOFU</t>
  </si>
  <si>
    <t>Week 7-8</t>
  </si>
  <si>
    <t>Why your ESP can't catch these 5 mistakes</t>
  </si>
  <si>
    <t>email QA vs ESP testing</t>
  </si>
  <si>
    <t>Month 2</t>
  </si>
  <si>
    <t>Not scheduled</t>
  </si>
  <si>
    <t>pre-send email checklist</t>
  </si>
  <si>
    <t>TOFU/MOFU</t>
  </si>
  <si>
    <t>How to catch broken merge tags before sending</t>
  </si>
  <si>
    <t>merge tag errors email</t>
  </si>
  <si>
    <t>Informational, specific</t>
  </si>
  <si>
    <t>MOFU</t>
  </si>
  <si>
    <t>Pillar 2 — Approval / accountability</t>
  </si>
  <si>
    <t>How to Get Client Sign-Off on Email Campaigns (Without the Slack Chaos)</t>
  </si>
  <si>
    <t>client approval workflow email</t>
  </si>
  <si>
    <t>Week 3-4</t>
  </si>
  <si>
    <t>client email sign off checklist</t>
  </si>
  <si>
    <t>Informational, shareable</t>
  </si>
  <si>
    <t>Why "looks approved" isn't the same as "is approved"</t>
  </si>
  <si>
    <t>The hidden cost of "just reply-all to approve"</t>
  </si>
  <si>
    <t>email approval process for agencies</t>
  </si>
  <si>
    <t>email approval audit trail</t>
  </si>
  <si>
    <t>Commercial-adjacent</t>
  </si>
  <si>
    <t>MOFU/BOFU</t>
  </si>
  <si>
    <t>Month 3</t>
  </si>
  <si>
    <t>Pillar 3 — Agency operations / trust</t>
  </si>
  <si>
    <t>Running a Professional Email QA &amp; Approval Process as an Agency</t>
  </si>
  <si>
    <t>email agency workflow</t>
  </si>
  <si>
    <t>Week 5-6</t>
  </si>
  <si>
    <t>email mistakes client trust</t>
  </si>
  <si>
    <t>One approval hub for every ESP, not five logins</t>
  </si>
  <si>
    <t>multi-ESP client approval</t>
  </si>
  <si>
    <t>BOFU</t>
  </si>
  <si>
    <t>From draft to approved: what a modern email workflow looks like</t>
  </si>
  <si>
    <t>email approval software</t>
  </si>
  <si>
    <t>Commercial</t>
  </si>
  <si>
    <t>How to Send a Test Email Your Client Can Actually Review</t>
  </si>
  <si>
    <t>send test email (320/mo, difficulty 28)</t>
  </si>
  <si>
    <t>Informational, high-intent</t>
  </si>
  <si>
    <t>Why Emails Land in Spam: A Pre-Send Deliverability Checklist</t>
  </si>
  <si>
    <t>how to stop emails going to spam (210/mo); spamhaus (1,600/mo)</t>
  </si>
  <si>
    <t>The Anatomy of a Broken Email Link (and How to Catch It Before Sending)</t>
  </si>
  <si>
    <t>html email link / link in html email (320/mo, difficulty 29-33)</t>
  </si>
  <si>
    <t>NEW — Comparison Pages (zero competitor coverage found in keyword-gap analysis)</t>
  </si>
  <si>
    <t>Comparison / competitive</t>
  </si>
  <si>
    <t>Comparison</t>
  </si>
  <si>
    <t>Litmus Alternative for Agencies and Freelancers</t>
  </si>
  <si>
    <t>litmus alternative (no reported volume in gap data — untapped)</t>
  </si>
  <si>
    <t>Commercial, high-intent</t>
  </si>
  <si>
    <t>Email on Acid vs SendCleared: Which One Do You Actually Need?</t>
  </si>
  <si>
    <t>email on acid alternative (no reported volume — untapped)</t>
  </si>
  <si>
    <t>Commercial, comparison</t>
  </si>
  <si>
    <t>Why Generic Proofing Tools (Ziflow, Filestage, Ashore) Don't Work for Email</t>
  </si>
  <si>
    <t>email approval software (no direct competitor overlap found)</t>
  </si>
  <si>
    <t>The Best Client Approval Tool for Email Marketers (2026)</t>
  </si>
  <si>
    <t>email approval software / client sign off tool</t>
  </si>
  <si>
    <t>Rows 1-4 (orange) are scheduled into the Daily Plan tab, weeks 1-8. Rows 5-18 are Month 2-3 backlog. Rows 19-22 (blue) are new comparison pages, added from the Litmus/Mailtrap/Email on Acid keyword-gap analysis — none of the three competitors rank for approval, sign-off, proofing, or freelance terms, and no 'alternative'/'vs' comparison content exists yet for this category.</t>
  </si>
  <si>
    <t>SendCleared — Customer Growth Plan</t>
  </si>
  <si>
    <t>2 hrs/day · 8-week build-out · Freelancer + Agency acquisition</t>
  </si>
  <si>
    <t>Plan start date</t>
  </si>
  <si>
    <t>Plan length</t>
  </si>
  <si>
    <t>8 weeks (40 working days)</t>
  </si>
  <si>
    <t>Daily time budget</t>
  </si>
  <si>
    <t>120 minutes</t>
  </si>
  <si>
    <t>Phase plan</t>
  </si>
  <si>
    <t>Phase</t>
  </si>
  <si>
    <t>Weeks</t>
  </si>
  <si>
    <t>Primary goal</t>
  </si>
  <si>
    <t>Phase 1</t>
  </si>
  <si>
    <t>Weeks 1-2</t>
  </si>
  <si>
    <t>Foundation: approval-led LP, beta agency recruiting, analytics setup</t>
  </si>
  <si>
    <t>10 beta agencies onboarded, tracking live</t>
  </si>
  <si>
    <t>Phase 2</t>
  </si>
  <si>
    <t>Weeks 3-4</t>
  </si>
  <si>
    <t>Community presence, SEO content, first case studies</t>
  </si>
  <si>
    <t>3 SEO posts live, 2 testimonials, organic signups begin</t>
  </si>
  <si>
    <t>Phase 3</t>
  </si>
  <si>
    <t>Weeks 5-6</t>
  </si>
  <si>
    <t>Public pricing launch, directory listings, Product Hunt</t>
  </si>
  <si>
    <t>Stripe live, first paying customers</t>
  </si>
  <si>
    <t>Phase 4</t>
  </si>
  <si>
    <t>Weeks 7-8</t>
  </si>
  <si>
    <t>Scale content + outreach, partnerships, retro</t>
  </si>
  <si>
    <t>Compounding organic traffic, plan next 8 weeks</t>
  </si>
  <si>
    <t>Weekly rhythm (Mon-Fri)</t>
  </si>
  <si>
    <t>Category</t>
  </si>
  <si>
    <t>Purpose</t>
  </si>
  <si>
    <t>Monday</t>
  </si>
  <si>
    <t>SEO / Content</t>
  </si>
  <si>
    <t>Keyword research, drafting, publishing, on-page optimisation</t>
  </si>
  <si>
    <t>Tuesday</t>
  </si>
  <si>
    <t>Cold email</t>
  </si>
  <si>
    <t>Building target lists, outreach batches, follow-ups</t>
  </si>
  <si>
    <t>Wednesday</t>
  </si>
  <si>
    <t>Community / answering questions</t>
  </si>
  <si>
    <t>Reddit, Slack/Discord, Indie Hackers, X — genuine engagement, no pitching</t>
  </si>
  <si>
    <t>Thursday</t>
  </si>
  <si>
    <t>Listings / partnerships</t>
  </si>
  <si>
    <t>Directories, partner programmes, Product Hunt, affiliate/cross-promo</t>
  </si>
  <si>
    <t>Friday</t>
  </si>
  <si>
    <t>Metrics + admin</t>
  </si>
  <si>
    <t>Weekly review, testimonials, case studies, pricing/ops tasks</t>
  </si>
  <si>
    <t>Progress summary (auto-updates from Daily Plan tab)</t>
  </si>
  <si>
    <t>Value</t>
  </si>
  <si>
    <t>Total tasks</t>
  </si>
  <si>
    <t>Tasks done</t>
  </si>
  <si>
    <t>Tasks in progress</t>
  </si>
  <si>
    <t>Tasks not started</t>
  </si>
  <si>
    <t>% complete</t>
  </si>
  <si>
    <t>https://www.linkedin.com/in/kevin-parady/</t>
  </si>
  <si>
    <t>https://www.linkedin.com/in/lucyovers/</t>
  </si>
  <si>
    <t>Lucy Overs</t>
  </si>
  <si>
    <t>Kevin Parady</t>
  </si>
  <si>
    <t>https://www.linkedin.com/in/belyndamurray/</t>
  </si>
  <si>
    <t>Belynda (Belle) Murray</t>
  </si>
  <si>
    <t>https://www.linkedin.com/in/plamen-tonev/</t>
  </si>
  <si>
    <t>Plamen Tonev</t>
  </si>
  <si>
    <t>https://www.linkedin.com/in/tizian-bauer/</t>
  </si>
  <si>
    <t>Tizian Bauer</t>
  </si>
  <si>
    <t>https://www.linkedin.com/in/anwesha-singh-6996ab153/</t>
  </si>
  <si>
    <t>Anwesha Singh</t>
  </si>
  <si>
    <t>https://www.linkedin.com/in/jeremyklaviyo/</t>
  </si>
  <si>
    <t>Jeremy Vincent R. Dela Cruz</t>
  </si>
  <si>
    <t>https://www.linkedin.com/in/jocelyn-abel-85a903149/</t>
  </si>
  <si>
    <t>Jocelyn Abel</t>
  </si>
  <si>
    <t>https://www.linkedin.com/in/rakic-milos/</t>
  </si>
  <si>
    <t>Milos Rakic</t>
  </si>
  <si>
    <t>https://www.linkedin.com/in/letitia-tita-b45712100/</t>
  </si>
  <si>
    <t>Letitia Tita</t>
  </si>
  <si>
    <t>https://www.linkedin.com/in/alen-capelja/</t>
  </si>
  <si>
    <t>Alen Capelja</t>
  </si>
  <si>
    <t>https://www.linkedin.com/in/christina-vasiliadou/</t>
  </si>
  <si>
    <t>Christina Vasiliadou</t>
  </si>
  <si>
    <t>https://www.linkedin.com/in/david-jim/</t>
  </si>
  <si>
    <t>David Jimenez</t>
  </si>
  <si>
    <t>https://www.linkedin.com/in/andreea-maria-micl%C4%83u%C8%99-8b1474b8/</t>
  </si>
  <si>
    <t>Andreea-Maria Miclaus</t>
  </si>
  <si>
    <t>https://www.linkedin.com/in/lauraserbest/</t>
  </si>
  <si>
    <t>Laura S.</t>
  </si>
  <si>
    <t>https://www.linkedin.com/in/peyman-karimian/</t>
  </si>
  <si>
    <t>Peyman Karimian</t>
  </si>
  <si>
    <t>Biljana Dukleska</t>
  </si>
  <si>
    <t>https://www.linkedin.com/in/biljana-dukleska-a1b48132/</t>
  </si>
  <si>
    <t>https://www.linkedin.com/in/idris-farjad-622846197/</t>
  </si>
  <si>
    <t>Idris Farjad</t>
  </si>
  <si>
    <t>https://www.linkedin.com/in/robson-esteves/?locale=en</t>
  </si>
  <si>
    <t>Robson Esteves Daniel</t>
  </si>
  <si>
    <t>https://www.linkedin.com/in/areeba-ahmed-1535b6180/</t>
  </si>
  <si>
    <t>Areeba Ahmed</t>
  </si>
  <si>
    <t>https://www.linkedin.com/in/laura-vaakanainen/</t>
  </si>
  <si>
    <t>Laura Vaakanainen</t>
  </si>
  <si>
    <t>https://www.linkedin.com/in/emilythrockmorton/</t>
  </si>
  <si>
    <t>Emily Throckmorton</t>
  </si>
  <si>
    <t>https://www.linkedin.com/in/danielghiroltean/</t>
  </si>
  <si>
    <t>Daniel Ghiroltean</t>
  </si>
  <si>
    <t>https://www.linkedin.com/in/markokoprivica/</t>
  </si>
  <si>
    <t>Marko Koprivica</t>
  </si>
  <si>
    <t>https://www.linkedin.com/in/sumant-goyal-3b957030b/</t>
  </si>
  <si>
    <t>Sumant Goyal</t>
  </si>
  <si>
    <t>https://www.linkedin.com/in/tierraexum/</t>
  </si>
  <si>
    <t>Tierra Grosman</t>
  </si>
  <si>
    <t>https://www.linkedin.com/in/leon-matthew-989354206/</t>
  </si>
  <si>
    <t>Leon Matthew</t>
  </si>
  <si>
    <t>15.09.26</t>
  </si>
  <si>
    <t>"What is the worst email marketing mistake you've ever made or seen?"</t>
  </si>
  <si>
    <r>
      <t>"How do you prevent sending an email with broken links or bad merge tags (</t>
    </r>
    <r>
      <rPr>
        <i/>
        <sz val="10"/>
        <color theme="1"/>
        <rFont val="Arial Unicode MS"/>
        <family val="2"/>
      </rPr>
      <t>{{first_name}}</t>
    </r>
    <r>
      <rPr>
        <i/>
        <sz val="11"/>
        <color theme="1"/>
        <rFont val="Calibri"/>
        <family val="2"/>
        <charset val="1"/>
      </rPr>
      <t>)?"</t>
    </r>
  </si>
  <si>
    <t>"Why do my HTML emails look broken in Outlook or Apple Mail?"</t>
  </si>
  <si>
    <t>Pre-Send Process &amp; Checklists</t>
  </si>
  <si>
    <t>"What is your pre-launch checklist before hitting 'Send' on an email campaign?"</t>
  </si>
  <si>
    <t>"How do email marketers perform QA on automated lifecycle flows (Klaviyo, HubSpot, etc.)?"</t>
  </si>
  <si>
    <t>"What is the best way to double-check email render and formatting across different clients?"</t>
  </si>
  <si>
    <t>Tooling &amp; Alternatives</t>
  </si>
  <si>
    <t>"Are there any good alternative tools to Litmus or Email on Acid for email QA testing?"</t>
  </si>
  <si>
    <t>"What are the best automated tools to catch email bugs before broadcast?"</t>
  </si>
  <si>
    <t>"How do you test dark mode rendering for HTML email newsletters?"</t>
  </si>
  <si>
    <t>Strategy to Plug SendCleared on Quora</t>
  </si>
  <si>
    <r>
      <t>Provide a High-Value Framework First:</t>
    </r>
    <r>
      <rPr>
        <sz val="11"/>
        <color theme="1"/>
        <rFont val="Calibri"/>
        <family val="2"/>
        <charset val="1"/>
      </rPr>
      <t xml:space="preserve"> Don't just post a sales link. Give a structured 4-point manual checklist (e.g., checking subject lines/preheaders, testing live fallback tags, rendering on mobile/dark mode, verifying preview texts).</t>
    </r>
  </si>
  <si>
    <r>
      <t>Introduce the "Automated Solution":</t>
    </r>
    <r>
      <rPr>
        <sz val="11"/>
        <color theme="1"/>
        <rFont val="Calibri"/>
        <family val="2"/>
        <charset val="1"/>
      </rPr>
      <t xml:space="preserve"> Explain that doing manual checks across every broadcast or automation update takes 15–20 minutes and still leaves room for human error.</t>
    </r>
  </si>
  <si>
    <r>
      <t>Soft Pitch:</t>
    </r>
    <r>
      <rPr>
        <sz val="11"/>
        <color theme="1"/>
        <rFont val="Calibri"/>
        <family val="2"/>
        <charset val="1"/>
      </rPr>
      <t xml:space="preserve"> </t>
    </r>
    <r>
      <rPr>
        <i/>
        <sz val="11"/>
        <color theme="1"/>
        <rFont val="Calibri"/>
        <family val="2"/>
        <charset val="1"/>
      </rPr>
      <t>"To speed this up and catch things like broken dynamic tags or broken layouts automatically, tools like SendCleared run these pre-flight checks instantly before you send."</t>
    </r>
  </si>
  <si>
    <t>Common QA Failures &amp; Disaster Stories - Quora - Target email marketing category - will need to keep broad</t>
  </si>
  <si>
    <t>Second Send</t>
  </si>
  <si>
    <t>16.09.26</t>
  </si>
  <si>
    <t>https://www.linkedin.com/in/valeriarobles24/</t>
  </si>
  <si>
    <t>Valeria Robles</t>
  </si>
  <si>
    <t>https://www.linkedin.com/in/kristi-treder-7289965/</t>
  </si>
  <si>
    <t>Kristi Treder</t>
  </si>
  <si>
    <t>https://www.linkedin.com/in/nikoloz-saralidze-2314b8154/</t>
  </si>
  <si>
    <t>Nikoloz Saralidze</t>
  </si>
  <si>
    <t>https://www.linkedin.com/in/victor-bizuett-6a954991/?locale=en</t>
  </si>
  <si>
    <t>Victor Bizuett</t>
  </si>
  <si>
    <t>Denas Kuliničius</t>
  </si>
  <si>
    <t>https://www.linkedin.com/in/denaskulinicius/</t>
  </si>
  <si>
    <t>Taylor Lumpkin</t>
  </si>
  <si>
    <t>https://www.linkedin.com/in/taylorlumpkin/</t>
  </si>
  <si>
    <t>https://www.linkedin.com/in/klaviyo-expert/</t>
  </si>
  <si>
    <t>Ryan Turner</t>
  </si>
  <si>
    <t>https://www.linkedin.com/in/rr-chris-lawbuary/</t>
  </si>
  <si>
    <t>Chris Lawbuary</t>
  </si>
  <si>
    <t>https://www.linkedin.com/in/gnegrin/</t>
  </si>
  <si>
    <t>Gabriel Negrín</t>
  </si>
  <si>
    <t>https://www.linkedin.com/in/barbarabsantos/</t>
  </si>
  <si>
    <t>Bárbara Santos</t>
  </si>
  <si>
    <t>Tier 1 — high-authority, worth the effort (submit in week 1)</t>
  </si>
  <si>
    <t>Directory</t>
  </si>
  <si>
    <t>Why it matters</t>
  </si>
  <si>
    <t>Product Hunt</t>
  </si>
  <si>
    <t>The single biggest traffic spike opportunity; treat launch day as an event, not a passive listing</t>
  </si>
  <si>
    <t>G2</t>
  </si>
  <si>
    <t>List under "Email Testing Software" — the same category Litmus and Email on Acid sit in, so you're in front of people actively comparing</t>
  </si>
  <si>
    <t>Capterra</t>
  </si>
  <si>
    <t>Same category-matching logic as G2; Gartner-owned, high buyer trust</t>
  </si>
  <si>
    <t>GetApp</t>
  </si>
  <si>
    <t>Also Gartner-family — same listing content works across all three with minor edits</t>
  </si>
  <si>
    <t>AlternativeTo</t>
  </si>
  <si>
    <t>Directly relevant given your comparison-page strategy — list Litmus and Email on Acid as the tools SendCleared is an alternative to</t>
  </si>
  <si>
    <t>Crunchbase</t>
  </si>
  <si>
    <t>Less about traffic, more about legitimacy signal for anyone researching the company</t>
  </si>
  <si>
    <t>SaaSHub</t>
  </si>
  <si>
    <t>Good DR, accepts "alternative to X" framing directly</t>
  </si>
  <si>
    <t>Tier 2 — fast, free, low-effort dofollow listings (batch these, 3–5/day)</t>
  </si>
  <si>
    <r>
      <t>Indie Hackers</t>
    </r>
    <r>
      <rPr>
        <sz val="11"/>
        <color theme="1"/>
        <rFont val="Calibri"/>
        <family val="2"/>
        <charset val="1"/>
      </rPr>
      <t xml:space="preserve"> — also worth being </t>
    </r>
    <r>
      <rPr>
        <i/>
        <sz val="11"/>
        <color theme="1"/>
        <rFont val="Calibri"/>
        <family val="2"/>
        <charset val="1"/>
      </rPr>
      <t>active</t>
    </r>
    <r>
      <rPr>
        <sz val="11"/>
        <color theme="1"/>
        <rFont val="Calibri"/>
        <family val="2"/>
        <charset val="1"/>
      </rPr>
      <t xml:space="preserve"> in, not just listed; your build-in-public content already fits this audience</t>
    </r>
  </si>
  <si>
    <r>
      <t>BetaList</t>
    </r>
    <r>
      <rPr>
        <sz val="11"/>
        <color theme="1"/>
        <rFont val="Calibri"/>
        <family val="2"/>
        <charset val="1"/>
      </rPr>
      <t xml:space="preserve"> — less relevant now you're past pre-launch, but still worth a listing for backlink value</t>
    </r>
  </si>
  <si>
    <r>
      <t>StackShare</t>
    </r>
    <r>
      <rPr>
        <sz val="11"/>
        <color theme="1"/>
        <rFont val="Calibri"/>
        <family val="2"/>
        <charset val="1"/>
      </rPr>
      <t xml:space="preserve"> — more dev-tool-oriented, lower priority but easy</t>
    </r>
  </si>
  <si>
    <r>
      <t>F6S</t>
    </r>
    <r>
      <rPr>
        <sz val="11"/>
        <color theme="1"/>
        <rFont val="Calibri"/>
        <family val="2"/>
        <charset val="1"/>
      </rPr>
      <t xml:space="preserve"> — startup-focused, decent authority</t>
    </r>
  </si>
  <si>
    <r>
      <t>Smol Launch / Launching Next / DevHunt</t>
    </r>
    <r>
      <rPr>
        <sz val="11"/>
        <color theme="1"/>
        <rFont val="Calibri"/>
        <family val="2"/>
        <charset val="1"/>
      </rPr>
      <t xml:space="preserve"> — modern, curated, genuinely free dofollow links; good ROI for the time cost</t>
    </r>
  </si>
  <si>
    <r>
      <t>Avoid:</t>
    </r>
    <r>
      <rPr>
        <sz val="11"/>
        <color theme="1"/>
        <rFont val="Calibri"/>
        <family val="2"/>
        <charset val="1"/>
      </rPr>
      <t xml:space="preserve"> mass-submission/auto-approval services (PRLog, EzineArticles-style, or anyone offering "300 directories in a day") — these are flagged as actively harmful to domain authority now, not just low-value.</t>
    </r>
  </si>
  <si>
    <t>Tier 3 — niche fit for your specific audience</t>
  </si>
  <si>
    <r>
      <t>AppSumo</t>
    </r>
    <r>
      <rPr>
        <sz val="11"/>
        <color theme="1"/>
        <rFont val="Calibri"/>
        <family val="2"/>
        <charset val="1"/>
      </rPr>
      <t xml:space="preserve"> — lifetime-deal marketplace; strong fit since your audience (freelancers, small agencies) is exactly who browses there, but worth thinking through the trade-off: LTD revenue is a one-time hit that can undercut your recurring MRR model. Worth a deliberate decision, not a default yes.</t>
    </r>
  </si>
  <si>
    <r>
      <t>Klaviyo App Marketplace / Integrations directory</t>
    </r>
    <r>
      <rPr>
        <sz val="11"/>
        <color theme="1"/>
        <rFont val="Calibri"/>
        <family val="2"/>
        <charset val="1"/>
      </rPr>
      <t xml:space="preserve"> and </t>
    </r>
    <r>
      <rPr>
        <b/>
        <sz val="11"/>
        <color theme="1"/>
        <rFont val="Calibri"/>
        <family val="2"/>
        <charset val="1"/>
      </rPr>
      <t>Mailchimp equivalent</t>
    </r>
    <r>
      <rPr>
        <sz val="11"/>
        <color theme="1"/>
        <rFont val="Calibri"/>
        <family val="2"/>
        <charset val="1"/>
      </rPr>
      <t xml:space="preserve"> — these are the highest-intent placements possible given your actual ICP, but they typically require a formal technical integration/certification process, not just a listing form. Flag this as a "pursue once you have engineering time," not a quick win.</t>
    </r>
  </si>
  <si>
    <r>
      <t>Show HN (Hacker News)</t>
    </r>
    <r>
      <rPr>
        <sz val="11"/>
        <color theme="1"/>
        <rFont val="Calibri"/>
        <family val="2"/>
        <charset val="1"/>
      </rPr>
      <t xml:space="preserve"> — not a directory, but a free "Show HN: SendCleared" post at launch or a major update can be genuinely high-leverage if it lands — technical/founder audience, thousands of eyes if it catches on. Zero cost to try.</t>
    </r>
  </si>
  <si>
    <t>22.09.26</t>
  </si>
  <si>
    <t>N/A</t>
  </si>
  <si>
    <t>No Connected</t>
  </si>
  <si>
    <t>23.09.26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</si>
</sst>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 mmm\ yy"/>
    <numFmt numFmtId="165" formatCode="dd\ mmm\ yyyy"/>
  </numFmts>
  <fonts count="24" x14ac:knownFonts="1">
    <font>
      <sz val="11"/>
      <color theme="1"/>
      <name val="Calibri"/>
      <family val="2"/>
      <charset val="1"/>
    </font>
    <font>
      <b/>
      <sz val="15"/>
      <color rgb="FFFFFFFF"/>
      <name val="Arial"/>
      <family val="2"/>
    </font>
    <font>
      <i/>
      <sz val="11"/>
      <color rgb="FF6E6E6E"/>
      <name val="Arial"/>
      <family val="2"/>
    </font>
    <font>
      <b/>
      <sz val="10"/>
      <color rgb="FFFFFFFF"/>
      <name val="Arial"/>
      <family val="2"/>
    </font>
    <font>
      <b/>
      <sz val="11"/>
      <color rgb="FFFFFFFF"/>
      <name val="Arial"/>
      <family val="2"/>
    </font>
    <font>
      <i/>
      <sz val="11"/>
      <color rgb="FF8A6D3B"/>
      <name val="Arial"/>
      <family val="2"/>
    </font>
    <font>
      <b/>
      <sz val="11"/>
      <name val="Arial"/>
      <family val="2"/>
    </font>
    <font>
      <sz val="11"/>
      <name val="Arial"/>
      <family val="2"/>
    </font>
    <font>
      <sz val="11"/>
      <color rgb="FF0000FF"/>
      <name val="Arial"/>
      <family val="2"/>
    </font>
    <font>
      <i/>
      <sz val="10"/>
      <color rgb="FFFFFFFF"/>
      <name val="Arial"/>
      <family val="2"/>
    </font>
    <font>
      <b/>
      <sz val="16"/>
      <color rgb="FF134E8E"/>
      <name val="Arial"/>
      <family val="2"/>
    </font>
    <font>
      <i/>
      <sz val="11"/>
      <color rgb="FF5A5A56"/>
      <name val="Arial"/>
      <family val="2"/>
    </font>
    <font>
      <b/>
      <sz val="14"/>
      <color rgb="FF134E8E"/>
      <name val="Arial"/>
      <family val="2"/>
    </font>
    <font>
      <sz val="11"/>
      <color rgb="FF5A5A56"/>
      <name val="Arial"/>
      <family val="2"/>
    </font>
    <font>
      <b/>
      <sz val="12"/>
      <color rgb="FFFFFFFF"/>
      <name val="Arial"/>
      <family val="2"/>
    </font>
    <font>
      <sz val="11"/>
      <color rgb="FF000000"/>
      <name val="Calibri"/>
      <family val="2"/>
      <charset val="1"/>
    </font>
    <font>
      <b/>
      <sz val="11"/>
      <color theme="1"/>
      <name val="Calibri"/>
      <family val="2"/>
    </font>
    <font>
      <b/>
      <sz val="18"/>
      <color rgb="FF134E8E"/>
      <name val="Arial"/>
      <family val="2"/>
    </font>
    <font>
      <b/>
      <sz val="13"/>
      <color rgb="FF134E8E"/>
      <name val="Arial"/>
      <family val="2"/>
    </font>
    <font>
      <sz val="8"/>
      <name val="Calibri"/>
      <family val="2"/>
      <charset val="1"/>
    </font>
    <font>
      <b/>
      <sz val="11"/>
      <color theme="1"/>
      <name val="Calibri"/>
      <family val="2"/>
      <charset val="1"/>
    </font>
    <font>
      <i/>
      <sz val="11"/>
      <color theme="1"/>
      <name val="Calibri"/>
      <family val="2"/>
      <charset val="1"/>
    </font>
    <font>
      <i/>
      <sz val="10"/>
      <color theme="1"/>
      <name val="Arial Unicode MS"/>
      <family val="2"/>
    </font>
    <font>
      <b/>
      <sz val="13.5"/>
      <color theme="1"/>
      <name val="Calibri"/>
      <family val="2"/>
      <charset val="1"/>
    </font>
  </fonts>
  <fills count="11">
    <fill>
      <patternFill patternType="none"/>
    </fill>
    <fill>
      <patternFill patternType="gray125"/>
    </fill>
    <fill>
      <patternFill patternType="solid">
        <fgColor rgb="FF1B3A6B"/>
        <bgColor rgb="FF333399"/>
      </patternFill>
    </fill>
    <fill>
      <patternFill patternType="solid">
        <fgColor rgb="FFE65B31"/>
        <bgColor rgb="FFFF8080"/>
      </patternFill>
    </fill>
    <fill>
      <patternFill patternType="solid">
        <fgColor rgb="FFFFF6E5"/>
        <bgColor rgb="FFF2F2F0"/>
      </patternFill>
    </fill>
    <fill>
      <patternFill patternType="solid">
        <fgColor rgb="FFF2F2F0"/>
        <bgColor rgb="FFFFF6E5"/>
      </patternFill>
    </fill>
    <fill>
      <patternFill patternType="solid">
        <fgColor rgb="FF134E8E"/>
        <bgColor rgb="FF333399"/>
      </patternFill>
    </fill>
    <fill>
      <patternFill patternType="solid">
        <fgColor rgb="FFF7F7F5"/>
        <bgColor rgb="FFFFFFFF"/>
      </patternFill>
    </fill>
    <fill>
      <patternFill patternType="solid">
        <fgColor rgb="FFFDECE3"/>
        <bgColor rgb="FFF7F7F5"/>
      </patternFill>
    </fill>
    <fill>
      <patternFill patternType="solid">
        <fgColor rgb="FFE8F0F8"/>
        <bgColor rgb="FFF7F7F5"/>
      </patternFill>
    </fill>
    <fill>
      <patternFill patternType="solid">
        <fgColor rgb="FFFFFF00"/>
        <bgColor indexed="64"/>
      </patternFill>
    </fill>
  </fills>
  <borders count="2">
    <border>
      <left/>
      <right/>
      <top/>
      <bottom/>
      <diagonal/>
    </border>
    <border>
      <left style="thin">
        <color rgb="FFD9D9D6"/>
      </left>
      <right style="thin">
        <color rgb="FFD9D9D6"/>
      </right>
      <top style="thin">
        <color rgb="FFD9D9D6"/>
      </top>
      <bottom style="thin">
        <color rgb="FFD9D9D6"/>
      </bottom>
      <diagonal/>
    </border>
  </borders>
  <cellStyleXfs count="1">
    <xf numFmtId="0" fontId="0" fillId="0" borderId="0"/>
  </cellStyleXfs>
  <cellXfs count="49">
    <xf numFmtId="0" fontId="0" fillId="0" borderId="0" xfId="0"/>
    <xf numFmtId="0" fontId="3" fillId="2" borderId="1" xfId="0" applyFont="1" applyFill="1" applyBorder="1" applyAlignment="1">
      <alignment vertical="center" wrapText="1"/>
    </xf>
    <xf numFmtId="0" fontId="0" fillId="0" borderId="1" xfId="0" applyBorder="1" applyAlignment="1">
      <alignment horizontal="center" vertical="center"/>
    </xf>
    <xf numFmtId="164" fontId="0" fillId="0" borderId="1" xfId="0" applyNumberFormat="1" applyBorder="1" applyAlignment="1">
      <alignment vertical="top" wrapText="1"/>
    </xf>
    <xf numFmtId="0" fontId="0" fillId="0" borderId="1" xfId="0" applyBorder="1" applyAlignment="1">
      <alignment vertical="top" wrapText="1"/>
    </xf>
    <xf numFmtId="0" fontId="5" fillId="4" borderId="1" xfId="0" applyFont="1" applyFill="1" applyBorder="1" applyAlignment="1">
      <alignment vertical="top" wrapText="1"/>
    </xf>
    <xf numFmtId="0" fontId="0" fillId="0" borderId="1" xfId="0" applyBorder="1"/>
    <xf numFmtId="0" fontId="6" fillId="0" borderId="1" xfId="0" applyFont="1" applyBorder="1" applyAlignment="1">
      <alignment vertical="top" wrapText="1"/>
    </xf>
    <xf numFmtId="0" fontId="5" fillId="4" borderId="1" xfId="0" applyFont="1" applyFill="1" applyBorder="1"/>
    <xf numFmtId="0" fontId="0" fillId="4" borderId="1" xfId="0" applyFill="1" applyBorder="1"/>
    <xf numFmtId="0" fontId="8" fillId="0" borderId="1" xfId="0" applyFont="1" applyBorder="1"/>
    <xf numFmtId="0" fontId="0" fillId="5" borderId="1" xfId="0" applyFill="1" applyBorder="1"/>
    <xf numFmtId="0" fontId="8" fillId="5" borderId="1" xfId="0" applyFont="1" applyFill="1" applyBorder="1"/>
    <xf numFmtId="0" fontId="0" fillId="5" borderId="1" xfId="0" applyFill="1" applyBorder="1" applyAlignment="1">
      <alignment vertical="top" wrapText="1"/>
    </xf>
    <xf numFmtId="0" fontId="6" fillId="0" borderId="0" xfId="0" applyFont="1"/>
    <xf numFmtId="0" fontId="14" fillId="6" borderId="1" xfId="0" applyFont="1" applyFill="1" applyBorder="1" applyAlignment="1">
      <alignment horizontal="center" vertical="center"/>
    </xf>
    <xf numFmtId="0" fontId="0" fillId="7" borderId="1" xfId="0" applyFill="1" applyBorder="1"/>
    <xf numFmtId="0" fontId="0" fillId="7" borderId="1" xfId="0" applyFill="1" applyBorder="1" applyAlignment="1">
      <alignment vertical="top" wrapText="1"/>
    </xf>
    <xf numFmtId="0" fontId="0" fillId="0" borderId="0" xfId="0" applyAlignment="1">
      <alignment wrapText="1"/>
    </xf>
    <xf numFmtId="0" fontId="15" fillId="0" borderId="0" xfId="0" applyFont="1" applyAlignment="1">
      <alignment vertical="center"/>
    </xf>
    <xf numFmtId="0" fontId="16" fillId="0" borderId="0" xfId="0" applyFont="1"/>
    <xf numFmtId="0" fontId="0" fillId="8" borderId="1" xfId="0" applyFill="1" applyBorder="1" applyAlignment="1">
      <alignment vertical="center" wrapText="1"/>
    </xf>
    <xf numFmtId="0" fontId="0" fillId="8" borderId="1" xfId="0" applyFill="1" applyBorder="1" applyAlignment="1">
      <alignment vertical="top" wrapText="1"/>
    </xf>
    <xf numFmtId="0" fontId="0" fillId="7" borderId="1" xfId="0" applyFill="1" applyBorder="1" applyAlignment="1">
      <alignment vertical="center" wrapText="1"/>
    </xf>
    <xf numFmtId="0" fontId="0" fillId="0" borderId="1" xfId="0" applyBorder="1" applyAlignment="1">
      <alignment vertical="center" wrapText="1"/>
    </xf>
    <xf numFmtId="0" fontId="13" fillId="7" borderId="1" xfId="0" applyFont="1" applyFill="1" applyBorder="1" applyAlignment="1">
      <alignment vertical="top" wrapText="1"/>
    </xf>
    <xf numFmtId="0" fontId="0" fillId="9" borderId="1" xfId="0" applyFill="1" applyBorder="1" applyAlignment="1">
      <alignment vertical="top" wrapText="1"/>
    </xf>
    <xf numFmtId="165" fontId="0" fillId="0" borderId="0" xfId="0" applyNumberFormat="1"/>
    <xf numFmtId="0" fontId="18" fillId="0" borderId="0" xfId="0" applyFont="1"/>
    <xf numFmtId="9" fontId="0" fillId="0" borderId="1" xfId="0" applyNumberFormat="1" applyBorder="1"/>
    <xf numFmtId="0" fontId="20" fillId="0" borderId="0" xfId="0" applyFont="1"/>
    <xf numFmtId="0" fontId="21" fillId="0" borderId="0" xfId="0" applyFont="1"/>
    <xf numFmtId="0" fontId="17" fillId="0" borderId="0" xfId="0" applyFont="1"/>
    <xf numFmtId="0" fontId="13" fillId="0" borderId="0" xfId="0" applyFont="1"/>
    <xf numFmtId="0" fontId="4" fillId="3" borderId="0" xfId="0" applyFont="1" applyFill="1"/>
    <xf numFmtId="0" fontId="1" fillId="2" borderId="0" xfId="0" applyFont="1" applyFill="1" applyAlignment="1">
      <alignment horizontal="left" vertical="center" indent="1"/>
    </xf>
    <xf numFmtId="0" fontId="2" fillId="0" borderId="0" xfId="0" applyFont="1"/>
    <xf numFmtId="0" fontId="10" fillId="0" borderId="0" xfId="0" applyFont="1"/>
    <xf numFmtId="0" fontId="11" fillId="0" borderId="0" xfId="0" applyFont="1"/>
    <xf numFmtId="0" fontId="6" fillId="0" borderId="0" xfId="0" applyFont="1"/>
    <xf numFmtId="0" fontId="7" fillId="0" borderId="0" xfId="0" applyFont="1"/>
    <xf numFmtId="0" fontId="2" fillId="0" borderId="0" xfId="0" applyFont="1" applyAlignment="1">
      <alignment vertical="top" wrapText="1"/>
    </xf>
    <xf numFmtId="0" fontId="12" fillId="0" borderId="0" xfId="0" applyFont="1"/>
    <xf numFmtId="0" fontId="9" fillId="2" borderId="0" xfId="0" applyFont="1" applyFill="1" applyAlignment="1">
      <alignment horizontal="left" vertical="center" indent="1"/>
    </xf>
    <xf numFmtId="0" fontId="11" fillId="0" borderId="0" xfId="0" applyFont="1" applyAlignment="1">
      <alignment vertical="top" wrapText="1"/>
    </xf>
    <xf numFmtId="0" fontId="0" fillId="0" borderId="0" xfId="0" applyFill="1"/>
    <xf numFmtId="0" fontId="23" fillId="0" borderId="0" xfId="0" applyFont="1" applyAlignment="1">
      <alignment wrapText="1"/>
    </xf>
    <xf numFmtId="0" fontId="20" fillId="0" borderId="0" xfId="0" applyFont="1" applyAlignment="1">
      <alignment wrapText="1"/>
    </xf>
    <xf numFmtId="0" fontId="0" fillId="10" borderId="0" xfId="0"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A6D3B"/>
      <rgbColor rgb="FF800080"/>
      <rgbColor rgb="FF008080"/>
      <rgbColor rgb="FFC0C0C0"/>
      <rgbColor rgb="FF808080"/>
      <rgbColor rgb="FF9999FF"/>
      <rgbColor rgb="FF993366"/>
      <rgbColor rgb="FFFFF6E5"/>
      <rgbColor rgb="FFF2F2F0"/>
      <rgbColor rgb="FF660066"/>
      <rgbColor rgb="FFFF8080"/>
      <rgbColor rgb="FF0066CC"/>
      <rgbColor rgb="FFD9D9D6"/>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E65B31"/>
      <rgbColor rgb="FF6E6E6E"/>
      <rgbColor rgb="FF969696"/>
      <rgbColor rgb="FF1B3A6B"/>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sendcleared-growth-plan.xlsx" TargetMode="External"/><Relationship Id="rId2" Type="http://schemas.openxmlformats.org/officeDocument/2006/relationships/externalLinkPath" Target="/Users/timothyarmstead/Downloads/sendcleared-growth-plan.xlsx" TargetMode="External"/><Relationship Id="rId1" Type="http://schemas.openxmlformats.org/officeDocument/2006/relationships/externalLinkPath" Target="/Users/timothyarmstead/Downloads/sendcleared-growth-pla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Overview"/>
      <sheetName val="Daily Plan"/>
      <sheetName val="Task Library"/>
      <sheetName val="SEO Content Plan"/>
      <sheetName val="Metrics Tracker"/>
      <sheetName val="LinkedIn Content Plan"/>
      <sheetName val="Outreach Emails"/>
    </sheetNames>
    <sheetDataSet>
      <sheetData sheetId="0"/>
      <sheetData sheetId="1">
        <row r="2">
          <cell r="F2" t="str">
            <v>Keyword research: list 15 target long-tail queries (e.g. "email QA checklist", "client approval workflow for email campaigns")</v>
          </cell>
          <cell r="H2" t="str">
            <v>Not started</v>
          </cell>
        </row>
        <row r="3">
          <cell r="F3" t="str">
            <v>Audit current LP copy against approval-first positioning; note gaps</v>
          </cell>
          <cell r="H3" t="str">
            <v>Not started</v>
          </cell>
        </row>
        <row r="4">
          <cell r="F4" t="str">
            <v>Write &amp; publish LinkedIn article #1: "The £47 email mistake no one talks about" (QA / mistakes)</v>
          </cell>
          <cell r="H4" t="str">
            <v>Not started</v>
          </cell>
        </row>
        <row r="5">
          <cell r="F5" t="str">
            <v>Build target list of 30 agencies from Klaviyo/Mailchimp partner directories (name, contact, ESP)</v>
          </cell>
          <cell r="H5" t="str">
            <v>Not started</v>
          </cell>
        </row>
        <row r="6">
          <cell r="F6" t="str">
            <v>Draft cold email template v1 for beta invite</v>
          </cell>
          <cell r="H6" t="str">
            <v>Not started</v>
          </cell>
        </row>
        <row r="7">
          <cell r="F7" t="str">
            <v>Join r/emailmarketing, r/freelance, r/agency + 2 relevant Slack/Discord communities</v>
          </cell>
          <cell r="H7" t="str">
            <v>Not started</v>
          </cell>
        </row>
        <row r="8">
          <cell r="F8" t="str">
            <v>Introduce yourself in each — no pitching, just context</v>
          </cell>
          <cell r="H8" t="str">
            <v>Not started</v>
          </cell>
        </row>
        <row r="9">
          <cell r="F9" t="str">
            <v>Bookmark 5 recent threads relevant to email QA/approval to answer next week</v>
          </cell>
          <cell r="H9" t="str">
            <v>Not started</v>
          </cell>
        </row>
        <row r="10">
          <cell r="F10" t="str">
            <v>Research and shortlist 8 "best tools for agencies" directories to submit to</v>
          </cell>
          <cell r="H10" t="str">
            <v>Not started</v>
          </cell>
        </row>
        <row r="11">
          <cell r="F11" t="str">
            <v>Submit to first 3 directories</v>
          </cell>
          <cell r="H11" t="str">
            <v>Not started</v>
          </cell>
        </row>
        <row r="12">
          <cell r="F12" t="str">
            <v>Set up growth tracker: approval links sent, free signups, paid signups, MRR (this workbook)</v>
          </cell>
          <cell r="H12" t="str">
            <v>Not started</v>
          </cell>
        </row>
        <row r="13">
          <cell r="F13" t="str">
            <v>Weekly review: log baseline numbers, note blockers for week 2</v>
          </cell>
          <cell r="H13" t="str">
            <v>Not started</v>
          </cell>
        </row>
        <row r="14">
          <cell r="F14" t="str">
            <v>Draft Cornerstone 1: "The Email QA Checklist for Agencies and Freelancers" (Pillar 1 cornerstone page)</v>
          </cell>
          <cell r="H14" t="str">
            <v>Not started</v>
          </cell>
        </row>
        <row r="15">
          <cell r="F15" t="str">
            <v>Write &amp; publish LinkedIn article #2: "Why 'looks approved' isn't the same as 'is approved'" (Approval / accountability)</v>
          </cell>
          <cell r="H15" t="str">
            <v>Not started</v>
          </cell>
        </row>
        <row r="16">
          <cell r="F16" t="str">
            <v>Send cold email batch 1 — 10 agencies, beta invite (free access + feedback call)</v>
          </cell>
          <cell r="H16" t="str">
            <v>Not started</v>
          </cell>
        </row>
        <row r="17">
          <cell r="F17" t="str">
            <v>Log responses / set follow-up reminders</v>
          </cell>
          <cell r="H17" t="str">
            <v>Not started</v>
          </cell>
        </row>
        <row r="18">
          <cell r="F18" t="str">
            <v>Answer 3 genuine questions across communities joined last week (no pitch)</v>
          </cell>
          <cell r="H18" t="str">
            <v>Not started</v>
          </cell>
        </row>
        <row r="19">
          <cell r="F19" t="str">
            <v>Share one useful resource/checklist where relevant</v>
          </cell>
          <cell r="H19" t="str">
            <v>Not started</v>
          </cell>
        </row>
        <row r="20">
          <cell r="F20" t="str">
            <v>Note any recurring pain points people mention</v>
          </cell>
          <cell r="H20" t="str">
            <v>Not started</v>
          </cell>
        </row>
        <row r="21">
          <cell r="F21" t="str">
            <v>Submit to 3 more directories</v>
          </cell>
          <cell r="H21" t="str">
            <v>Not started</v>
          </cell>
        </row>
        <row r="22">
          <cell r="F22" t="str">
            <v>Start Product Hunt prep: draft tagline, gallery assets list, launch date target</v>
          </cell>
          <cell r="H22" t="str">
            <v>Not started</v>
          </cell>
        </row>
        <row r="23">
          <cell r="F23" t="str">
            <v>Weekly review: update tracker</v>
          </cell>
          <cell r="H23" t="str">
            <v>Not started</v>
          </cell>
        </row>
        <row r="24">
          <cell r="F24" t="str">
            <v>Ask 2 active beta agencies for a short testimonial</v>
          </cell>
          <cell r="H24" t="str">
            <v>Not started</v>
          </cell>
        </row>
        <row r="25">
          <cell r="F25" t="str">
            <v>Plan week 3 priorities based on beta feedback</v>
          </cell>
          <cell r="H25" t="str">
            <v>Not started</v>
          </cell>
        </row>
        <row r="26">
          <cell r="F26" t="str">
            <v>Edit + publish Cornerstone 1; submit URL to Google Search Console</v>
          </cell>
          <cell r="H26" t="str">
            <v>Not started</v>
          </cell>
        </row>
        <row r="27">
          <cell r="F27" t="str">
            <v>Add 2 internal links from LP/report page to the post</v>
          </cell>
          <cell r="H27" t="str">
            <v>Not started</v>
          </cell>
        </row>
        <row r="28">
          <cell r="F28" t="str">
            <v>Draft outline for Cornerstone 2: "How to Get Client Sign-Off on Email Campaigns (Without the Slack Chaos)" (Pillar 2 cornerstone page)</v>
          </cell>
          <cell r="H28" t="str">
            <v>Not started</v>
          </cell>
        </row>
        <row r="29">
          <cell r="F29" t="str">
            <v>Write &amp; publish LinkedIn article #3: "The 3 questions every client should ask before hitting send" (Approval / accountability)</v>
          </cell>
          <cell r="H29" t="str">
            <v>Not started</v>
          </cell>
        </row>
        <row r="30">
          <cell r="F30" t="str">
            <v>Write &amp; publish LinkedIn article #4: "What I learned reviewing 500 client emails before they went out" (QA / mistakes)</v>
          </cell>
          <cell r="H30" t="str">
            <v>Not started</v>
          </cell>
        </row>
        <row r="31">
          <cell r="F31" t="str">
            <v>Follow up batch 1 non-responders (personalised, reference their ESP/clients)</v>
          </cell>
          <cell r="H31" t="str">
            <v>Not started</v>
          </cell>
        </row>
        <row r="32">
          <cell r="F32" t="str">
            <v>Send cold email batch 2 — 10 more agencies</v>
          </cell>
          <cell r="H32" t="str">
            <v>Not started</v>
          </cell>
        </row>
        <row r="33">
          <cell r="F33" t="str">
            <v>Answer 3 more questions across communities</v>
          </cell>
          <cell r="H33" t="str">
            <v>Not started</v>
          </cell>
        </row>
        <row r="34">
          <cell r="F34" t="str">
            <v>Post an "ask me anything about email QA" style thread in one community</v>
          </cell>
          <cell r="H34" t="str">
            <v>Not started</v>
          </cell>
        </row>
        <row r="35">
          <cell r="F35" t="str">
            <v>Submit to Klaviyo/Mailchimp partner or agency directories specifically</v>
          </cell>
          <cell r="H35" t="str">
            <v>Not started</v>
          </cell>
        </row>
        <row r="36">
          <cell r="F36" t="str">
            <v>Reach out to 3 complementary tool makers (ESP consultants, freelance platforms) re: cross-promo</v>
          </cell>
          <cell r="H36" t="str">
            <v>Not started</v>
          </cell>
        </row>
        <row r="37">
          <cell r="F37" t="str">
            <v>Weekly review: update tracker</v>
          </cell>
          <cell r="H37" t="str">
            <v>Not started</v>
          </cell>
        </row>
        <row r="38">
          <cell r="F38" t="str">
            <v>Draft case study #1 from best-performing beta agency</v>
          </cell>
          <cell r="H38" t="str">
            <v>Not started</v>
          </cell>
        </row>
        <row r="39">
          <cell r="F39" t="str">
            <v>Write and publish Cornerstone 2 (client sign-off / audit trail cornerstone)</v>
          </cell>
          <cell r="H39" t="str">
            <v>Not started</v>
          </cell>
        </row>
        <row r="40">
          <cell r="F40" t="str">
            <v>Write &amp; publish LinkedIn article #5: "The hidden cost of 'just reply-all to approve'" (Approval / accountability)</v>
          </cell>
          <cell r="H40" t="str">
            <v>Not started</v>
          </cell>
        </row>
        <row r="41">
          <cell r="F41" t="str">
            <v>Follow up batch 2 non-responders</v>
          </cell>
          <cell r="H41" t="str">
            <v>Not started</v>
          </cell>
        </row>
        <row r="42">
          <cell r="F42" t="str">
            <v>Send cold email batch 3 — 10 freelancers via Upwork/LinkedIn search</v>
          </cell>
          <cell r="H42" t="str">
            <v>Not started</v>
          </cell>
        </row>
        <row r="43">
          <cell r="F43" t="str">
            <v>First Indie Hackers "build in public" post — share journey, early numbers</v>
          </cell>
          <cell r="H43" t="str">
            <v>Not started</v>
          </cell>
        </row>
        <row r="44">
          <cell r="F44" t="str">
            <v>Respond to any comments/DMs from the post</v>
          </cell>
          <cell r="H44" t="str">
            <v>Not started</v>
          </cell>
        </row>
        <row r="45">
          <cell r="F45" t="str">
            <v>Follow up on directory listings — confirm live, fix broken ones</v>
          </cell>
          <cell r="H45" t="str">
            <v>Not started</v>
          </cell>
        </row>
        <row r="46">
          <cell r="F46" t="str">
            <v>Continue partnership outreach follow-ups</v>
          </cell>
          <cell r="H46" t="str">
            <v>Not started</v>
          </cell>
        </row>
        <row r="47">
          <cell r="F47" t="str">
            <v>Finalise Product Hunt assets and copy</v>
          </cell>
          <cell r="H47" t="str">
            <v>Not started</v>
          </cell>
        </row>
        <row r="48">
          <cell r="F48" t="str">
            <v>Weekly review: update tracker</v>
          </cell>
          <cell r="H48" t="str">
            <v>Not started</v>
          </cell>
        </row>
        <row r="49">
          <cell r="F49" t="str">
            <v>Publish case study #1 on LP / as a post</v>
          </cell>
          <cell r="H49" t="str">
            <v>Not started</v>
          </cell>
        </row>
        <row r="50">
          <cell r="F50" t="str">
            <v>Draft outline + write Cornerstone 3: "Running a Professional Email QA &amp; Approval Process as an Agency" (Pillar 3 cornerstone page)</v>
          </cell>
          <cell r="H50" t="str">
            <v>Not started</v>
          </cell>
        </row>
        <row r="51">
          <cell r="F51" t="str">
            <v>Write &amp; publish LinkedIn article #6: "How agencies lose client trust in one broken subject line" (Agency operations / trust)</v>
          </cell>
          <cell r="H51" t="str">
            <v>Not started</v>
          </cell>
        </row>
        <row r="52">
          <cell r="F52" t="str">
            <v>Send cold email batch 4 — 10 agencies, include pricing launch + case study</v>
          </cell>
          <cell r="H52" t="str">
            <v>Not started</v>
          </cell>
        </row>
        <row r="53">
          <cell r="F53" t="str">
            <v>Log + follow-up reminders</v>
          </cell>
          <cell r="H53" t="str">
            <v>Not started</v>
          </cell>
        </row>
        <row r="54">
          <cell r="F54" t="str">
            <v>Answer 3 questions + soft-mention case study result where genuinely relevant</v>
          </cell>
          <cell r="H54" t="str">
            <v>Not started</v>
          </cell>
        </row>
        <row r="55">
          <cell r="F55" t="str">
            <v>Engage on X/Twitter: 2 threads about email QA/approval pain points</v>
          </cell>
          <cell r="H55" t="str">
            <v>Not started</v>
          </cell>
        </row>
        <row r="56">
          <cell r="F56" t="str">
            <v>Stripe pricing go-live checklist: plans, webhooks, upgrade prompts — QA test end to end</v>
          </cell>
          <cell r="H56" t="str">
            <v>Not started</v>
          </cell>
        </row>
        <row r="57">
          <cell r="F57" t="str">
            <v>Update all directory listings with live pricing</v>
          </cell>
          <cell r="H57" t="str">
            <v>Not started</v>
          </cell>
        </row>
        <row r="58">
          <cell r="F58" t="str">
            <v>Weekly review: update tracker</v>
          </cell>
          <cell r="H58" t="str">
            <v>Not started</v>
          </cell>
        </row>
        <row r="59">
          <cell r="F59" t="str">
            <v>Confirm Stripe live in production; test one real checkout</v>
          </cell>
          <cell r="H59" t="str">
            <v>Not started</v>
          </cell>
        </row>
        <row r="60">
          <cell r="F60" t="str">
            <v>Announce pricing launch to beta agencies + email list</v>
          </cell>
          <cell r="H60" t="str">
            <v>Not started</v>
          </cell>
        </row>
        <row r="61">
          <cell r="F61" t="str">
            <v>Publish Cornerstone 3 + submit to Search Console</v>
          </cell>
          <cell r="H61" t="str">
            <v>Not started</v>
          </cell>
        </row>
        <row r="62">
          <cell r="F62" t="str">
            <v>Review Search Console data from posts 1-2, fix any indexing issues</v>
          </cell>
          <cell r="H62" t="str">
            <v>Not started</v>
          </cell>
        </row>
        <row r="63">
          <cell r="F63" t="str">
            <v>Write &amp; publish LinkedIn article #7: "The pre-send checklist top email agencies actually use" (QA / mistakes)</v>
          </cell>
          <cell r="H63" t="str">
            <v>Not started</v>
          </cell>
        </row>
        <row r="64">
          <cell r="F64" t="str">
            <v>Write &amp; publish LinkedIn article #8: "Why your ESP can't catch these 5 mistakes (but your process should)" (QA / mistakes)</v>
          </cell>
          <cell r="H64" t="str">
            <v>Not started</v>
          </cell>
        </row>
        <row r="65">
          <cell r="F65" t="str">
            <v>Personalised outreach to 10 warm leads from free-tier signups (usage-based)</v>
          </cell>
          <cell r="H65" t="str">
            <v>Not started</v>
          </cell>
        </row>
        <row r="66">
          <cell r="F66" t="str">
            <v>Log + follow-up reminders</v>
          </cell>
          <cell r="H66" t="str">
            <v>Not started</v>
          </cell>
        </row>
        <row r="67">
          <cell r="F67" t="str">
            <v>Indie Hackers post #2 — share case study results / early revenue</v>
          </cell>
          <cell r="H67" t="str">
            <v>Not started</v>
          </cell>
        </row>
        <row r="68">
          <cell r="F68" t="str">
            <v>Respond to comments/DMs</v>
          </cell>
          <cell r="H68" t="str">
            <v>Not started</v>
          </cell>
        </row>
        <row r="69">
          <cell r="F69" t="str">
            <v>Product Hunt launch day: post, respond to every comment, share in communities</v>
          </cell>
          <cell r="H69" t="str">
            <v>Not started</v>
          </cell>
        </row>
        <row r="70">
          <cell r="F70" t="str">
            <v>Weekly review: update tracker incl. Product Hunt referral traffic</v>
          </cell>
          <cell r="H70" t="str">
            <v>Not started</v>
          </cell>
        </row>
        <row r="71">
          <cell r="F71" t="str">
            <v>Follow up Product Hunt leads individually</v>
          </cell>
          <cell r="H71" t="str">
            <v>Not started</v>
          </cell>
        </row>
        <row r="72">
          <cell r="F72" t="str">
            <v>Gather 2 more testimonials from newly paying customers</v>
          </cell>
          <cell r="H72" t="str">
            <v>Not started</v>
          </cell>
        </row>
        <row r="73">
          <cell r="F73" t="str">
            <v>Review SEO Content Plan tab; confirm next 3 cluster posts for weeks 9+ based on Search Console queries so far</v>
          </cell>
          <cell r="H73" t="str">
            <v>Not started</v>
          </cell>
        </row>
        <row r="74">
          <cell r="F74" t="str">
            <v>Draft cluster post: "The £47 email mistake no one talks about" (Pillar 1, TOFU, links back to Cornerstone 1)</v>
          </cell>
          <cell r="H74" t="str">
            <v>Not started</v>
          </cell>
        </row>
        <row r="75">
          <cell r="F75" t="str">
            <v>Write &amp; publish LinkedIn article #9: "The audit trail your client is quietly expecting" (Approval / accountability)</v>
          </cell>
          <cell r="H75" t="str">
            <v>Not started</v>
          </cell>
        </row>
        <row r="76">
          <cell r="F76" t="str">
            <v>Send cold email batch 5 — 15 agencies, attach case study PDF</v>
          </cell>
          <cell r="H76" t="str">
            <v>Not started</v>
          </cell>
        </row>
        <row r="77">
          <cell r="F77" t="str">
            <v>Log + follow-up reminders</v>
          </cell>
          <cell r="H77" t="str">
            <v>Not started</v>
          </cell>
        </row>
        <row r="78">
          <cell r="F78" t="str">
            <v>Answer 3 questions across communities</v>
          </cell>
          <cell r="H78" t="str">
            <v>Not started</v>
          </cell>
        </row>
        <row r="79">
          <cell r="F79" t="str">
            <v>Engage on X/Twitter: 2 threads</v>
          </cell>
          <cell r="H79" t="str">
            <v>Not started</v>
          </cell>
        </row>
        <row r="80">
          <cell r="F80" t="str">
            <v>Partnership outreach follow-ups — aim to confirm 1-2 cross-promotions</v>
          </cell>
          <cell r="H80" t="str">
            <v>Not started</v>
          </cell>
        </row>
        <row r="81">
          <cell r="F81" t="str">
            <v>Explore + scope a simple affiliate/referral program</v>
          </cell>
          <cell r="H81" t="str">
            <v>Not started</v>
          </cell>
        </row>
        <row r="82">
          <cell r="F82" t="str">
            <v>Weekly review: update tracker</v>
          </cell>
          <cell r="H82" t="str">
            <v>Not started</v>
          </cell>
        </row>
        <row r="83">
          <cell r="F83" t="str">
            <v>Publish blog post 4</v>
          </cell>
          <cell r="H83" t="str">
            <v>Not started</v>
          </cell>
        </row>
        <row r="84">
          <cell r="F84" t="str">
            <v>Draft case study #2</v>
          </cell>
          <cell r="H84" t="str">
            <v>Not started</v>
          </cell>
        </row>
        <row r="85">
          <cell r="F85" t="str">
            <v>Publish + promote cluster post: "The £47 email mistake no one talks about" (share in communities, X)</v>
          </cell>
          <cell r="H85" t="str">
            <v>Not started</v>
          </cell>
        </row>
        <row r="86">
          <cell r="F86" t="str">
            <v>Refresh meta titles/descriptions on posts 1-3 based on performance</v>
          </cell>
          <cell r="H86" t="str">
            <v>Not started</v>
          </cell>
        </row>
        <row r="87">
          <cell r="F87" t="str">
            <v>Write &amp; publish LinkedIn article #10: "From draft to approved: what a modern email workflow actually looks like" (Agency operations / trust)</v>
          </cell>
          <cell r="H87" t="str">
            <v>Not started</v>
          </cell>
        </row>
        <row r="88">
          <cell r="F88" t="str">
            <v>Re-engage full cold list with a short nurture email (what's new, case studies, pricing)</v>
          </cell>
          <cell r="H88" t="str">
            <v>Not started</v>
          </cell>
        </row>
        <row r="89">
          <cell r="F89" t="str">
            <v>Log responses</v>
          </cell>
          <cell r="H89" t="str">
            <v>Not started</v>
          </cell>
        </row>
        <row r="90">
          <cell r="F90" t="str">
            <v>Review engagement across all communities — identify top 3 by response/signups</v>
          </cell>
          <cell r="H90" t="str">
            <v>Not started</v>
          </cell>
        </row>
        <row r="91">
          <cell r="F91" t="str">
            <v>Double down: post/answer in the top 3 only going forward</v>
          </cell>
          <cell r="H91" t="str">
            <v>Not started</v>
          </cell>
        </row>
        <row r="92">
          <cell r="F92" t="str">
            <v>Review directory referral traffic — keep top performers, drop dead listings</v>
          </cell>
          <cell r="H92" t="str">
            <v>Not started</v>
          </cell>
        </row>
        <row r="93">
          <cell r="F93" t="str">
            <v>Confirm any partnerships/affiliate agreements in writing</v>
          </cell>
          <cell r="H93" t="str">
            <v>Not started</v>
          </cell>
        </row>
        <row r="94">
          <cell r="F94" t="str">
            <v>Full 8-week retro: what worked, what to cut, MRR vs target</v>
          </cell>
          <cell r="H94" t="str">
            <v>Not started</v>
          </cell>
        </row>
        <row r="95">
          <cell r="F95" t="str">
            <v>Plan next 8-week growth cycle using this tracker as a template</v>
          </cell>
          <cell r="H95" t="str">
            <v>Not started</v>
          </cell>
        </row>
      </sheetData>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E062D-B4D5-E649-922C-35A0023B2BDB}">
  <dimension ref="A1:F31"/>
  <sheetViews>
    <sheetView workbookViewId="0">
      <selection activeCell="C12" sqref="C12"/>
    </sheetView>
  </sheetViews>
  <sheetFormatPr baseColWidth="10" defaultColWidth="8.6640625" defaultRowHeight="15" x14ac:dyDescent="0.2"/>
  <cols>
    <col min="1" max="2" width="16" customWidth="1"/>
    <col min="3" max="3" width="46" customWidth="1"/>
    <col min="4" max="4" width="40" customWidth="1"/>
  </cols>
  <sheetData>
    <row r="1" spans="1:6" ht="23" x14ac:dyDescent="0.25">
      <c r="A1" s="32" t="s">
        <v>741</v>
      </c>
      <c r="B1" s="32"/>
      <c r="C1" s="32"/>
      <c r="D1" s="32"/>
      <c r="E1" s="32"/>
      <c r="F1" s="32"/>
    </row>
    <row r="2" spans="1:6" ht="15" customHeight="1" x14ac:dyDescent="0.2">
      <c r="A2" s="33" t="s">
        <v>742</v>
      </c>
      <c r="B2" s="33"/>
      <c r="C2" s="33"/>
      <c r="D2" s="33"/>
      <c r="E2" s="33"/>
      <c r="F2" s="33"/>
    </row>
    <row r="4" spans="1:6" ht="15" customHeight="1" x14ac:dyDescent="0.2">
      <c r="A4" s="14" t="s">
        <v>743</v>
      </c>
      <c r="B4" s="27">
        <v>46261</v>
      </c>
    </row>
    <row r="5" spans="1:6" ht="15" customHeight="1" x14ac:dyDescent="0.2">
      <c r="A5" s="14" t="s">
        <v>744</v>
      </c>
      <c r="B5" t="s">
        <v>745</v>
      </c>
    </row>
    <row r="6" spans="1:6" ht="15" customHeight="1" x14ac:dyDescent="0.2">
      <c r="A6" s="14" t="s">
        <v>746</v>
      </c>
      <c r="B6" t="s">
        <v>747</v>
      </c>
    </row>
    <row r="8" spans="1:6" ht="17" x14ac:dyDescent="0.2">
      <c r="A8" s="28" t="s">
        <v>748</v>
      </c>
    </row>
    <row r="9" spans="1:6" ht="16" x14ac:dyDescent="0.2">
      <c r="A9" s="15" t="s">
        <v>749</v>
      </c>
      <c r="B9" s="15" t="s">
        <v>750</v>
      </c>
      <c r="C9" s="15" t="s">
        <v>4</v>
      </c>
      <c r="D9" s="15" t="s">
        <v>751</v>
      </c>
    </row>
    <row r="10" spans="1:6" ht="32" x14ac:dyDescent="0.2">
      <c r="A10" s="4" t="s">
        <v>752</v>
      </c>
      <c r="B10" s="4" t="s">
        <v>753</v>
      </c>
      <c r="C10" s="4" t="s">
        <v>754</v>
      </c>
      <c r="D10" s="4" t="s">
        <v>755</v>
      </c>
    </row>
    <row r="11" spans="1:6" ht="32" x14ac:dyDescent="0.2">
      <c r="A11" s="17" t="s">
        <v>756</v>
      </c>
      <c r="B11" s="17" t="s">
        <v>757</v>
      </c>
      <c r="C11" s="17" t="s">
        <v>758</v>
      </c>
      <c r="D11" s="17" t="s">
        <v>759</v>
      </c>
    </row>
    <row r="12" spans="1:6" ht="16" x14ac:dyDescent="0.2">
      <c r="A12" s="4" t="s">
        <v>760</v>
      </c>
      <c r="B12" s="4" t="s">
        <v>761</v>
      </c>
      <c r="C12" s="4" t="s">
        <v>762</v>
      </c>
      <c r="D12" s="4" t="s">
        <v>763</v>
      </c>
    </row>
    <row r="13" spans="1:6" ht="16" x14ac:dyDescent="0.2">
      <c r="A13" s="17" t="s">
        <v>764</v>
      </c>
      <c r="B13" s="17" t="s">
        <v>765</v>
      </c>
      <c r="C13" s="17" t="s">
        <v>766</v>
      </c>
      <c r="D13" s="17" t="s">
        <v>767</v>
      </c>
    </row>
    <row r="16" spans="1:6" ht="17" x14ac:dyDescent="0.2">
      <c r="A16" s="28" t="s">
        <v>768</v>
      </c>
    </row>
    <row r="17" spans="1:3" ht="16" x14ac:dyDescent="0.2">
      <c r="A17" s="15" t="s">
        <v>2</v>
      </c>
      <c r="B17" s="15" t="s">
        <v>769</v>
      </c>
      <c r="C17" s="15" t="s">
        <v>770</v>
      </c>
    </row>
    <row r="18" spans="1:3" ht="32" x14ac:dyDescent="0.2">
      <c r="A18" s="4" t="s">
        <v>771</v>
      </c>
      <c r="B18" s="4" t="s">
        <v>772</v>
      </c>
      <c r="C18" s="4" t="s">
        <v>773</v>
      </c>
    </row>
    <row r="19" spans="1:3" ht="16" x14ac:dyDescent="0.2">
      <c r="A19" s="17" t="s">
        <v>774</v>
      </c>
      <c r="B19" s="17" t="s">
        <v>775</v>
      </c>
      <c r="C19" s="17" t="s">
        <v>776</v>
      </c>
    </row>
    <row r="20" spans="1:3" ht="48" x14ac:dyDescent="0.2">
      <c r="A20" s="4" t="s">
        <v>777</v>
      </c>
      <c r="B20" s="4" t="s">
        <v>778</v>
      </c>
      <c r="C20" s="4" t="s">
        <v>779</v>
      </c>
    </row>
    <row r="21" spans="1:3" ht="32" x14ac:dyDescent="0.2">
      <c r="A21" s="17" t="s">
        <v>780</v>
      </c>
      <c r="B21" s="17" t="s">
        <v>781</v>
      </c>
      <c r="C21" s="17" t="s">
        <v>782</v>
      </c>
    </row>
    <row r="22" spans="1:3" ht="32" x14ac:dyDescent="0.2">
      <c r="A22" s="4" t="s">
        <v>783</v>
      </c>
      <c r="B22" s="4" t="s">
        <v>784</v>
      </c>
      <c r="C22" s="4" t="s">
        <v>785</v>
      </c>
    </row>
    <row r="25" spans="1:3" ht="17" x14ac:dyDescent="0.2">
      <c r="A25" s="28" t="s">
        <v>786</v>
      </c>
    </row>
    <row r="26" spans="1:3" ht="16" x14ac:dyDescent="0.2">
      <c r="A26" s="15" t="s">
        <v>210</v>
      </c>
      <c r="B26" s="15" t="s">
        <v>787</v>
      </c>
    </row>
    <row r="27" spans="1:3" ht="15" customHeight="1" x14ac:dyDescent="0.2">
      <c r="A27" s="6" t="s">
        <v>788</v>
      </c>
      <c r="B27" s="6">
        <f>COUNTA('[1]Daily Plan'!F2:F200)</f>
        <v>94</v>
      </c>
    </row>
    <row r="28" spans="1:3" ht="15" customHeight="1" x14ac:dyDescent="0.2">
      <c r="A28" s="16" t="s">
        <v>789</v>
      </c>
      <c r="B28" s="16" t="e">
        <f>COUNTIF('[1]Daily Plan'!H2:H200,"Done")</f>
        <v>#VALUE!</v>
      </c>
    </row>
    <row r="29" spans="1:3" ht="15" customHeight="1" x14ac:dyDescent="0.2">
      <c r="A29" s="6" t="s">
        <v>790</v>
      </c>
      <c r="B29" s="6" t="e">
        <f>COUNTIF('[1]Daily Plan'!H2:H200,"In progress")</f>
        <v>#VALUE!</v>
      </c>
    </row>
    <row r="30" spans="1:3" ht="15" customHeight="1" x14ac:dyDescent="0.2">
      <c r="A30" s="16" t="s">
        <v>791</v>
      </c>
      <c r="B30" s="16" t="e">
        <f>COUNTIF('[1]Daily Plan'!H2:H200,"Not started")</f>
        <v>#VALUE!</v>
      </c>
    </row>
    <row r="31" spans="1:3" ht="15" customHeight="1" x14ac:dyDescent="0.2">
      <c r="A31" s="6" t="s">
        <v>792</v>
      </c>
      <c r="B31" s="29">
        <f>IFERROR(B28/B27,0)</f>
        <v>0</v>
      </c>
    </row>
  </sheetData>
  <mergeCells count="2">
    <mergeCell ref="A1:F1"/>
    <mergeCell ref="A2:F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showGridLines="0" zoomScaleNormal="100" workbookViewId="0">
      <pane ySplit="4" topLeftCell="A13" activePane="bottomLeft" state="frozen"/>
      <selection pane="bottomLeft" activeCell="F21" sqref="F21"/>
    </sheetView>
  </sheetViews>
  <sheetFormatPr baseColWidth="10" defaultColWidth="8.6640625" defaultRowHeight="15" x14ac:dyDescent="0.2"/>
  <cols>
    <col min="1" max="1" width="6" customWidth="1"/>
    <col min="2" max="2" width="11" customWidth="1"/>
    <col min="3" max="3" width="26" customWidth="1"/>
    <col min="4" max="4" width="46" customWidth="1"/>
    <col min="5" max="6" width="40" customWidth="1"/>
    <col min="7" max="7" width="34" customWidth="1"/>
    <col min="8" max="8" width="8" customWidth="1"/>
    <col min="9" max="9" width="26" customWidth="1"/>
  </cols>
  <sheetData>
    <row r="1" spans="1:9" ht="25.5" customHeight="1" x14ac:dyDescent="0.2">
      <c r="A1" s="35" t="s">
        <v>0</v>
      </c>
      <c r="B1" s="35"/>
      <c r="C1" s="35"/>
      <c r="D1" s="35"/>
      <c r="E1" s="35"/>
      <c r="F1" s="35"/>
      <c r="G1" s="35"/>
      <c r="H1" s="35"/>
      <c r="I1" s="35"/>
    </row>
    <row r="3" spans="1:9" x14ac:dyDescent="0.2">
      <c r="A3" s="36" t="s">
        <v>1</v>
      </c>
      <c r="B3" s="36"/>
      <c r="C3" s="36"/>
      <c r="D3" s="36"/>
      <c r="E3" s="36"/>
      <c r="F3" s="36"/>
      <c r="G3" s="36"/>
      <c r="H3" s="36"/>
      <c r="I3" s="36"/>
    </row>
    <row r="4" spans="1:9" x14ac:dyDescent="0.2">
      <c r="A4" s="1" t="s">
        <v>2</v>
      </c>
      <c r="B4" s="1" t="s">
        <v>3</v>
      </c>
      <c r="C4" s="1" t="s">
        <v>4</v>
      </c>
      <c r="D4" s="1" t="s">
        <v>5</v>
      </c>
      <c r="E4" s="1" t="s">
        <v>6</v>
      </c>
      <c r="F4" s="1" t="s">
        <v>7</v>
      </c>
      <c r="G4" s="1" t="s">
        <v>8</v>
      </c>
      <c r="H4" s="1" t="s">
        <v>9</v>
      </c>
      <c r="I4" s="1" t="s">
        <v>10</v>
      </c>
    </row>
    <row r="5" spans="1:9" ht="18" customHeight="1" x14ac:dyDescent="0.2">
      <c r="A5" s="34" t="s">
        <v>11</v>
      </c>
      <c r="B5" s="34"/>
      <c r="C5" s="34"/>
      <c r="D5" s="34"/>
      <c r="E5" s="34"/>
      <c r="F5" s="34"/>
      <c r="G5" s="34"/>
      <c r="H5" s="34"/>
      <c r="I5" s="34"/>
    </row>
    <row r="6" spans="1:9" ht="45.75" customHeight="1" x14ac:dyDescent="0.2">
      <c r="A6" s="2">
        <v>1</v>
      </c>
      <c r="B6" s="3">
        <v>46261</v>
      </c>
      <c r="C6" s="4" t="s">
        <v>12</v>
      </c>
      <c r="D6" s="4" t="s">
        <v>13</v>
      </c>
      <c r="E6" s="4" t="s">
        <v>14</v>
      </c>
      <c r="F6" s="4" t="s">
        <v>15</v>
      </c>
      <c r="G6" s="4" t="s">
        <v>16</v>
      </c>
      <c r="H6" s="2" t="s">
        <v>17</v>
      </c>
      <c r="I6" s="4"/>
    </row>
    <row r="7" spans="1:9" ht="45.75" customHeight="1" x14ac:dyDescent="0.2">
      <c r="A7" s="2">
        <v>2</v>
      </c>
      <c r="B7" s="3">
        <v>46262</v>
      </c>
      <c r="C7" s="4" t="s">
        <v>18</v>
      </c>
      <c r="D7" s="4" t="s">
        <v>19</v>
      </c>
      <c r="E7" s="4" t="s">
        <v>16</v>
      </c>
      <c r="F7" s="4" t="s">
        <v>20</v>
      </c>
      <c r="G7" s="4" t="s">
        <v>16</v>
      </c>
      <c r="H7" s="2" t="s">
        <v>17</v>
      </c>
      <c r="I7" s="4"/>
    </row>
    <row r="8" spans="1:9" ht="45.75" customHeight="1" x14ac:dyDescent="0.2">
      <c r="A8" s="2">
        <v>3</v>
      </c>
      <c r="B8" s="3">
        <v>46263</v>
      </c>
      <c r="C8" s="4" t="s">
        <v>21</v>
      </c>
      <c r="D8" s="4" t="s">
        <v>22</v>
      </c>
      <c r="E8" s="4" t="s">
        <v>23</v>
      </c>
      <c r="F8" s="4" t="s">
        <v>24</v>
      </c>
      <c r="G8" s="4" t="s">
        <v>16</v>
      </c>
      <c r="H8" s="2" t="s">
        <v>17</v>
      </c>
      <c r="I8" s="4"/>
    </row>
    <row r="9" spans="1:9" ht="45.75" customHeight="1" x14ac:dyDescent="0.2">
      <c r="A9" s="2">
        <v>4</v>
      </c>
      <c r="B9" s="3">
        <v>46264</v>
      </c>
      <c r="C9" s="4" t="s">
        <v>25</v>
      </c>
      <c r="D9" s="4" t="s">
        <v>26</v>
      </c>
      <c r="E9" s="4" t="s">
        <v>16</v>
      </c>
      <c r="F9" s="4" t="s">
        <v>27</v>
      </c>
      <c r="G9" s="4" t="s">
        <v>16</v>
      </c>
      <c r="H9" s="2" t="s">
        <v>17</v>
      </c>
      <c r="I9" s="4"/>
    </row>
    <row r="10" spans="1:9" ht="45.75" customHeight="1" x14ac:dyDescent="0.2">
      <c r="A10" s="2">
        <v>5</v>
      </c>
      <c r="B10" s="3">
        <v>46265</v>
      </c>
      <c r="C10" s="4" t="s">
        <v>28</v>
      </c>
      <c r="D10" s="4" t="s">
        <v>29</v>
      </c>
      <c r="E10" s="4" t="s">
        <v>30</v>
      </c>
      <c r="F10" s="4" t="s">
        <v>16</v>
      </c>
      <c r="G10" s="4" t="s">
        <v>16</v>
      </c>
      <c r="H10" s="2" t="s">
        <v>17</v>
      </c>
      <c r="I10" s="4"/>
    </row>
    <row r="11" spans="1:9" ht="18" customHeight="1" x14ac:dyDescent="0.2">
      <c r="A11" s="34" t="s">
        <v>31</v>
      </c>
      <c r="B11" s="34"/>
      <c r="C11" s="34"/>
      <c r="D11" s="34"/>
      <c r="E11" s="34"/>
      <c r="F11" s="34"/>
      <c r="G11" s="34"/>
      <c r="H11" s="34"/>
      <c r="I11" s="34"/>
    </row>
    <row r="12" spans="1:9" ht="45.75" customHeight="1" x14ac:dyDescent="0.2">
      <c r="A12" s="2">
        <v>6</v>
      </c>
      <c r="B12" s="3">
        <v>46266</v>
      </c>
      <c r="C12" s="4" t="s">
        <v>32</v>
      </c>
      <c r="D12" s="4" t="s">
        <v>33</v>
      </c>
      <c r="E12" s="4" t="s">
        <v>34</v>
      </c>
      <c r="F12" s="4" t="s">
        <v>35</v>
      </c>
      <c r="G12" s="4" t="s">
        <v>36</v>
      </c>
      <c r="H12" s="2" t="s">
        <v>17</v>
      </c>
      <c r="I12" s="4"/>
    </row>
    <row r="13" spans="1:9" ht="45.75" customHeight="1" x14ac:dyDescent="0.2">
      <c r="A13" s="2">
        <v>7</v>
      </c>
      <c r="B13" s="3">
        <v>46267</v>
      </c>
      <c r="C13" s="4" t="s">
        <v>37</v>
      </c>
      <c r="D13" s="4" t="s">
        <v>38</v>
      </c>
      <c r="E13" s="4" t="s">
        <v>16</v>
      </c>
      <c r="F13" s="4" t="s">
        <v>39</v>
      </c>
      <c r="G13" s="4" t="s">
        <v>40</v>
      </c>
      <c r="H13" s="2" t="s">
        <v>17</v>
      </c>
      <c r="I13" s="4"/>
    </row>
    <row r="14" spans="1:9" ht="45.75" customHeight="1" x14ac:dyDescent="0.2">
      <c r="A14" s="2">
        <v>8</v>
      </c>
      <c r="B14" s="3">
        <v>46268</v>
      </c>
      <c r="C14" s="4" t="s">
        <v>41</v>
      </c>
      <c r="D14" s="4" t="s">
        <v>42</v>
      </c>
      <c r="E14" s="4" t="s">
        <v>43</v>
      </c>
      <c r="F14" s="4" t="s">
        <v>16</v>
      </c>
      <c r="G14" s="4" t="s">
        <v>44</v>
      </c>
      <c r="H14" s="2" t="s">
        <v>17</v>
      </c>
      <c r="I14" s="4"/>
    </row>
    <row r="15" spans="1:9" ht="45.75" customHeight="1" x14ac:dyDescent="0.2">
      <c r="A15" s="2">
        <v>9</v>
      </c>
      <c r="B15" s="3">
        <v>46269</v>
      </c>
      <c r="C15" s="4" t="s">
        <v>45</v>
      </c>
      <c r="D15" s="4" t="s">
        <v>46</v>
      </c>
      <c r="E15" s="4" t="s">
        <v>16</v>
      </c>
      <c r="F15" s="4" t="s">
        <v>47</v>
      </c>
      <c r="G15" s="4" t="s">
        <v>48</v>
      </c>
      <c r="H15" s="2" t="s">
        <v>17</v>
      </c>
      <c r="I15" s="4"/>
    </row>
    <row r="16" spans="1:9" ht="45.75" customHeight="1" x14ac:dyDescent="0.2">
      <c r="A16" s="2">
        <v>10</v>
      </c>
      <c r="B16" s="3">
        <v>46270</v>
      </c>
      <c r="C16" s="4" t="s">
        <v>49</v>
      </c>
      <c r="D16" s="4" t="s">
        <v>50</v>
      </c>
      <c r="E16" s="4" t="s">
        <v>51</v>
      </c>
      <c r="F16" s="4" t="s">
        <v>52</v>
      </c>
      <c r="G16" s="4" t="s">
        <v>53</v>
      </c>
      <c r="H16" s="2" t="s">
        <v>17</v>
      </c>
      <c r="I16" s="4"/>
    </row>
    <row r="17" spans="1:9" ht="18" customHeight="1" x14ac:dyDescent="0.2">
      <c r="A17" s="34" t="s">
        <v>54</v>
      </c>
      <c r="B17" s="34"/>
      <c r="C17" s="34"/>
      <c r="D17" s="34"/>
      <c r="E17" s="34"/>
      <c r="F17" s="34"/>
      <c r="G17" s="34"/>
      <c r="H17" s="34"/>
      <c r="I17" s="34"/>
    </row>
    <row r="18" spans="1:9" ht="45.75" customHeight="1" x14ac:dyDescent="0.2">
      <c r="A18" s="2">
        <v>11</v>
      </c>
      <c r="B18" s="3">
        <v>46271</v>
      </c>
      <c r="C18" s="4" t="s">
        <v>55</v>
      </c>
      <c r="D18" s="4" t="s">
        <v>56</v>
      </c>
      <c r="E18" s="4" t="s">
        <v>57</v>
      </c>
      <c r="F18" s="4" t="s">
        <v>58</v>
      </c>
      <c r="G18" s="4" t="s">
        <v>59</v>
      </c>
      <c r="H18" s="2" t="s">
        <v>17</v>
      </c>
      <c r="I18" s="4"/>
    </row>
    <row r="19" spans="1:9" ht="45.75" customHeight="1" x14ac:dyDescent="0.2">
      <c r="A19" s="2">
        <v>12</v>
      </c>
      <c r="B19" s="3">
        <v>46272</v>
      </c>
      <c r="C19" s="4" t="s">
        <v>60</v>
      </c>
      <c r="D19" s="4" t="s">
        <v>61</v>
      </c>
      <c r="E19" s="4" t="s">
        <v>16</v>
      </c>
      <c r="F19" s="4" t="s">
        <v>62</v>
      </c>
      <c r="G19" s="4" t="s">
        <v>63</v>
      </c>
      <c r="H19" s="2" t="s">
        <v>17</v>
      </c>
      <c r="I19" s="4"/>
    </row>
    <row r="20" spans="1:9" ht="45.75" customHeight="1" x14ac:dyDescent="0.2">
      <c r="A20" s="2">
        <v>13</v>
      </c>
      <c r="B20" s="3">
        <v>46273</v>
      </c>
      <c r="C20" s="4" t="s">
        <v>64</v>
      </c>
      <c r="D20" s="4" t="s">
        <v>65</v>
      </c>
      <c r="E20" s="4" t="s">
        <v>66</v>
      </c>
      <c r="F20" s="4" t="s">
        <v>67</v>
      </c>
      <c r="G20" s="4" t="s">
        <v>68</v>
      </c>
      <c r="H20" s="2" t="s">
        <v>17</v>
      </c>
      <c r="I20" s="4"/>
    </row>
    <row r="21" spans="1:9" ht="45.75" customHeight="1" x14ac:dyDescent="0.2">
      <c r="A21" s="2">
        <v>14</v>
      </c>
      <c r="B21" s="3">
        <v>46274</v>
      </c>
      <c r="C21" s="4" t="s">
        <v>69</v>
      </c>
      <c r="D21" s="4" t="s">
        <v>70</v>
      </c>
      <c r="E21" s="4" t="s">
        <v>16</v>
      </c>
      <c r="F21" s="4" t="s">
        <v>71</v>
      </c>
      <c r="G21" s="4" t="s">
        <v>72</v>
      </c>
      <c r="H21" s="2" t="s">
        <v>17</v>
      </c>
      <c r="I21" s="4"/>
    </row>
    <row r="22" spans="1:9" ht="45.75" customHeight="1" x14ac:dyDescent="0.2">
      <c r="A22" s="2">
        <v>15</v>
      </c>
      <c r="B22" s="3">
        <v>46275</v>
      </c>
      <c r="C22" s="4" t="s">
        <v>73</v>
      </c>
      <c r="D22" s="4" t="s">
        <v>74</v>
      </c>
      <c r="E22" s="4" t="s">
        <v>75</v>
      </c>
      <c r="F22" s="4" t="s">
        <v>16</v>
      </c>
      <c r="G22" s="4" t="s">
        <v>76</v>
      </c>
      <c r="H22" s="2" t="s">
        <v>17</v>
      </c>
      <c r="I22" s="4"/>
    </row>
    <row r="23" spans="1:9" ht="18" customHeight="1" x14ac:dyDescent="0.2">
      <c r="A23" s="34" t="s">
        <v>77</v>
      </c>
      <c r="B23" s="34"/>
      <c r="C23" s="34"/>
      <c r="D23" s="34"/>
      <c r="E23" s="34"/>
      <c r="F23" s="34"/>
      <c r="G23" s="34"/>
      <c r="H23" s="34"/>
      <c r="I23" s="34"/>
    </row>
    <row r="24" spans="1:9" ht="45.75" customHeight="1" x14ac:dyDescent="0.2">
      <c r="A24" s="2">
        <v>16</v>
      </c>
      <c r="B24" s="3">
        <v>46276</v>
      </c>
      <c r="C24" s="4" t="s">
        <v>78</v>
      </c>
      <c r="D24" s="4" t="s">
        <v>79</v>
      </c>
      <c r="E24" s="4" t="s">
        <v>80</v>
      </c>
      <c r="F24" s="4" t="s">
        <v>81</v>
      </c>
      <c r="G24" s="4" t="s">
        <v>82</v>
      </c>
      <c r="H24" s="2" t="s">
        <v>17</v>
      </c>
      <c r="I24" s="4"/>
    </row>
    <row r="25" spans="1:9" ht="45.75" customHeight="1" x14ac:dyDescent="0.2">
      <c r="A25" s="2">
        <v>17</v>
      </c>
      <c r="B25" s="3">
        <v>46277</v>
      </c>
      <c r="C25" s="4" t="s">
        <v>83</v>
      </c>
      <c r="D25" s="4" t="s">
        <v>84</v>
      </c>
      <c r="E25" s="4" t="s">
        <v>16</v>
      </c>
      <c r="F25" s="4" t="s">
        <v>85</v>
      </c>
      <c r="G25" s="4" t="s">
        <v>86</v>
      </c>
      <c r="H25" s="2" t="s">
        <v>17</v>
      </c>
      <c r="I25" s="4"/>
    </row>
    <row r="26" spans="1:9" ht="45.75" customHeight="1" x14ac:dyDescent="0.2">
      <c r="A26" s="2">
        <v>18</v>
      </c>
      <c r="B26" s="3">
        <v>46278</v>
      </c>
      <c r="C26" s="4" t="s">
        <v>87</v>
      </c>
      <c r="D26" s="4" t="s">
        <v>88</v>
      </c>
      <c r="E26" s="4" t="s">
        <v>89</v>
      </c>
      <c r="F26" s="4" t="s">
        <v>16</v>
      </c>
      <c r="G26" s="4" t="s">
        <v>90</v>
      </c>
      <c r="H26" s="2" t="s">
        <v>17</v>
      </c>
      <c r="I26" s="4"/>
    </row>
    <row r="27" spans="1:9" ht="45.75" customHeight="1" x14ac:dyDescent="0.2">
      <c r="A27" s="2">
        <v>19</v>
      </c>
      <c r="B27" s="3">
        <v>46279</v>
      </c>
      <c r="C27" s="4" t="s">
        <v>91</v>
      </c>
      <c r="D27" s="4" t="s">
        <v>92</v>
      </c>
      <c r="E27" s="4" t="s">
        <v>16</v>
      </c>
      <c r="F27" s="4" t="s">
        <v>93</v>
      </c>
      <c r="G27" s="4" t="s">
        <v>94</v>
      </c>
      <c r="H27" s="2" t="s">
        <v>17</v>
      </c>
      <c r="I27" s="4"/>
    </row>
    <row r="28" spans="1:9" ht="45.75" customHeight="1" x14ac:dyDescent="0.2">
      <c r="A28" s="2">
        <v>20</v>
      </c>
      <c r="B28" s="3">
        <v>46280</v>
      </c>
      <c r="C28" s="4" t="s">
        <v>95</v>
      </c>
      <c r="D28" s="4" t="s">
        <v>96</v>
      </c>
      <c r="E28" s="4" t="s">
        <v>97</v>
      </c>
      <c r="F28" s="4" t="s">
        <v>98</v>
      </c>
      <c r="G28" s="4" t="s">
        <v>99</v>
      </c>
      <c r="H28" s="2" t="s">
        <v>17</v>
      </c>
      <c r="I28" s="4"/>
    </row>
    <row r="29" spans="1:9" ht="18" customHeight="1" x14ac:dyDescent="0.2">
      <c r="A29" s="34" t="s">
        <v>100</v>
      </c>
      <c r="B29" s="34"/>
      <c r="C29" s="34"/>
      <c r="D29" s="34"/>
      <c r="E29" s="34"/>
      <c r="F29" s="34"/>
      <c r="G29" s="34"/>
      <c r="H29" s="34"/>
      <c r="I29" s="34"/>
    </row>
    <row r="30" spans="1:9" ht="45.75" customHeight="1" x14ac:dyDescent="0.2">
      <c r="A30" s="2">
        <v>21</v>
      </c>
      <c r="B30" s="3">
        <v>46281</v>
      </c>
      <c r="C30" s="4" t="s">
        <v>101</v>
      </c>
      <c r="D30" s="4" t="s">
        <v>102</v>
      </c>
      <c r="E30" s="4" t="s">
        <v>103</v>
      </c>
      <c r="F30" s="4" t="s">
        <v>104</v>
      </c>
      <c r="G30" s="4" t="s">
        <v>105</v>
      </c>
      <c r="H30" s="2" t="s">
        <v>17</v>
      </c>
      <c r="I30" s="4"/>
    </row>
    <row r="31" spans="1:9" ht="45.75" customHeight="1" x14ac:dyDescent="0.2">
      <c r="A31" s="2">
        <v>22</v>
      </c>
      <c r="B31" s="3">
        <v>46282</v>
      </c>
      <c r="C31" s="4" t="s">
        <v>106</v>
      </c>
      <c r="D31" s="4" t="s">
        <v>107</v>
      </c>
      <c r="E31" s="4" t="s">
        <v>16</v>
      </c>
      <c r="F31" s="4" t="s">
        <v>108</v>
      </c>
      <c r="G31" s="4" t="s">
        <v>109</v>
      </c>
      <c r="H31" s="2" t="s">
        <v>17</v>
      </c>
      <c r="I31" s="4"/>
    </row>
    <row r="32" spans="1:9" ht="45.75" customHeight="1" x14ac:dyDescent="0.2">
      <c r="A32" s="2">
        <v>23</v>
      </c>
      <c r="B32" s="3">
        <v>46283</v>
      </c>
      <c r="C32" s="4" t="s">
        <v>110</v>
      </c>
      <c r="D32" s="4" t="s">
        <v>111</v>
      </c>
      <c r="E32" s="4" t="s">
        <v>112</v>
      </c>
      <c r="F32" s="4" t="s">
        <v>16</v>
      </c>
      <c r="G32" s="4" t="s">
        <v>113</v>
      </c>
      <c r="H32" s="2" t="s">
        <v>17</v>
      </c>
      <c r="I32" s="4"/>
    </row>
    <row r="33" spans="1:9" ht="45.75" customHeight="1" x14ac:dyDescent="0.2">
      <c r="A33" s="2">
        <v>24</v>
      </c>
      <c r="B33" s="3">
        <v>46284</v>
      </c>
      <c r="C33" s="4" t="s">
        <v>114</v>
      </c>
      <c r="D33" s="4" t="s">
        <v>115</v>
      </c>
      <c r="E33" s="4" t="s">
        <v>116</v>
      </c>
      <c r="F33" s="4" t="s">
        <v>117</v>
      </c>
      <c r="G33" s="4" t="s">
        <v>118</v>
      </c>
      <c r="H33" s="2" t="s">
        <v>17</v>
      </c>
      <c r="I33" s="4"/>
    </row>
    <row r="34" spans="1:9" ht="45.75" customHeight="1" x14ac:dyDescent="0.2">
      <c r="A34" s="2">
        <v>25</v>
      </c>
      <c r="B34" s="3">
        <v>46285</v>
      </c>
      <c r="C34" s="4" t="s">
        <v>119</v>
      </c>
      <c r="D34" s="4" t="s">
        <v>120</v>
      </c>
      <c r="E34" s="4" t="s">
        <v>121</v>
      </c>
      <c r="F34" s="4" t="s">
        <v>16</v>
      </c>
      <c r="G34" s="4" t="s">
        <v>122</v>
      </c>
      <c r="H34" s="2" t="s">
        <v>17</v>
      </c>
      <c r="I34" s="4"/>
    </row>
    <row r="35" spans="1:9" ht="18" customHeight="1" x14ac:dyDescent="0.2">
      <c r="A35" s="34" t="s">
        <v>123</v>
      </c>
      <c r="B35" s="34"/>
      <c r="C35" s="34"/>
      <c r="D35" s="34"/>
      <c r="E35" s="34"/>
      <c r="F35" s="34"/>
      <c r="G35" s="34"/>
      <c r="H35" s="34"/>
      <c r="I35" s="34"/>
    </row>
    <row r="36" spans="1:9" ht="45.75" customHeight="1" x14ac:dyDescent="0.2">
      <c r="A36" s="2">
        <v>26</v>
      </c>
      <c r="B36" s="3">
        <v>46286</v>
      </c>
      <c r="C36" s="4" t="s">
        <v>124</v>
      </c>
      <c r="D36" s="4" t="s">
        <v>125</v>
      </c>
      <c r="E36" s="4" t="s">
        <v>126</v>
      </c>
      <c r="F36" s="4" t="s">
        <v>127</v>
      </c>
      <c r="G36" s="4" t="s">
        <v>128</v>
      </c>
      <c r="H36" s="2" t="s">
        <v>17</v>
      </c>
      <c r="I36" s="4"/>
    </row>
    <row r="37" spans="1:9" ht="45.75" customHeight="1" x14ac:dyDescent="0.2">
      <c r="A37" s="2">
        <v>27</v>
      </c>
      <c r="B37" s="3">
        <v>46287</v>
      </c>
      <c r="C37" s="4" t="s">
        <v>129</v>
      </c>
      <c r="D37" s="4" t="s">
        <v>130</v>
      </c>
      <c r="E37" s="4" t="s">
        <v>16</v>
      </c>
      <c r="F37" s="4" t="s">
        <v>131</v>
      </c>
      <c r="G37" s="4" t="s">
        <v>132</v>
      </c>
      <c r="H37" s="2" t="s">
        <v>17</v>
      </c>
      <c r="I37" s="4"/>
    </row>
    <row r="38" spans="1:9" ht="45.75" customHeight="1" x14ac:dyDescent="0.2">
      <c r="A38" s="2">
        <v>28</v>
      </c>
      <c r="B38" s="3">
        <v>46288</v>
      </c>
      <c r="C38" s="4" t="s">
        <v>133</v>
      </c>
      <c r="D38" s="4" t="s">
        <v>134</v>
      </c>
      <c r="E38" s="4" t="s">
        <v>135</v>
      </c>
      <c r="F38" s="4" t="s">
        <v>16</v>
      </c>
      <c r="G38" s="4" t="s">
        <v>136</v>
      </c>
      <c r="H38" s="2" t="s">
        <v>17</v>
      </c>
      <c r="I38" s="4"/>
    </row>
    <row r="39" spans="1:9" ht="45.75" customHeight="1" x14ac:dyDescent="0.2">
      <c r="A39" s="2">
        <v>29</v>
      </c>
      <c r="B39" s="3">
        <v>46289</v>
      </c>
      <c r="C39" s="4" t="s">
        <v>137</v>
      </c>
      <c r="D39" s="4" t="s">
        <v>138</v>
      </c>
      <c r="E39" s="4" t="s">
        <v>139</v>
      </c>
      <c r="F39" s="4" t="s">
        <v>104</v>
      </c>
      <c r="G39" s="4" t="s">
        <v>140</v>
      </c>
      <c r="H39" s="2" t="s">
        <v>17</v>
      </c>
      <c r="I39" s="4"/>
    </row>
    <row r="40" spans="1:9" ht="45.75" customHeight="1" x14ac:dyDescent="0.2">
      <c r="A40" s="2">
        <v>30</v>
      </c>
      <c r="B40" s="3">
        <v>46290</v>
      </c>
      <c r="C40" s="4" t="s">
        <v>141</v>
      </c>
      <c r="D40" s="4" t="s">
        <v>142</v>
      </c>
      <c r="E40" s="4" t="s">
        <v>143</v>
      </c>
      <c r="F40" s="4" t="s">
        <v>144</v>
      </c>
      <c r="G40" s="4" t="s">
        <v>145</v>
      </c>
      <c r="H40" s="2" t="s">
        <v>17</v>
      </c>
      <c r="I40" s="4"/>
    </row>
  </sheetData>
  <mergeCells count="8">
    <mergeCell ref="A23:I23"/>
    <mergeCell ref="A29:I29"/>
    <mergeCell ref="A35:I35"/>
    <mergeCell ref="A1:I1"/>
    <mergeCell ref="A3:I3"/>
    <mergeCell ref="A5:I5"/>
    <mergeCell ref="A11:I11"/>
    <mergeCell ref="A17:I17"/>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05"/>
  <sheetViews>
    <sheetView showGridLines="0" zoomScaleNormal="100" workbookViewId="0">
      <pane ySplit="5" topLeftCell="A6" activePane="bottomLeft" state="frozen"/>
      <selection pane="bottomLeft" activeCell="E20" sqref="E20"/>
    </sheetView>
  </sheetViews>
  <sheetFormatPr baseColWidth="10" defaultColWidth="8.6640625" defaultRowHeight="15" x14ac:dyDescent="0.2"/>
  <cols>
    <col min="1" max="1" width="5" customWidth="1"/>
    <col min="2" max="4" width="18" customWidth="1"/>
    <col min="5" max="5" width="12" customWidth="1"/>
    <col min="6" max="6" width="10" customWidth="1"/>
    <col min="7" max="7" width="14" customWidth="1"/>
    <col min="8" max="8" width="12" customWidth="1"/>
    <col min="9" max="11" width="11" customWidth="1"/>
    <col min="12" max="12" width="10" customWidth="1"/>
    <col min="13" max="14" width="8" customWidth="1"/>
    <col min="15" max="15" width="30" customWidth="1"/>
  </cols>
  <sheetData>
    <row r="1" spans="1:15" ht="25.5" customHeight="1" x14ac:dyDescent="0.2">
      <c r="A1" s="35" t="s">
        <v>146</v>
      </c>
      <c r="B1" s="35"/>
      <c r="C1" s="35"/>
      <c r="D1" s="35"/>
      <c r="E1" s="35"/>
      <c r="F1" s="35"/>
      <c r="G1" s="35"/>
      <c r="H1" s="35"/>
      <c r="I1" s="35"/>
      <c r="J1" s="35"/>
      <c r="K1" s="35"/>
      <c r="L1" s="35"/>
      <c r="M1" s="35"/>
      <c r="N1" s="35"/>
    </row>
    <row r="3" spans="1:15" x14ac:dyDescent="0.2">
      <c r="A3" s="36" t="s">
        <v>147</v>
      </c>
      <c r="B3" s="36"/>
      <c r="C3" s="36"/>
      <c r="D3" s="36"/>
      <c r="E3" s="36"/>
      <c r="F3" s="36"/>
      <c r="G3" s="36"/>
      <c r="H3" s="36"/>
      <c r="I3" s="36"/>
      <c r="J3" s="36"/>
      <c r="K3" s="36"/>
      <c r="L3" s="36"/>
      <c r="M3" s="36"/>
      <c r="N3" s="36"/>
    </row>
    <row r="4" spans="1:15" ht="28" x14ac:dyDescent="0.2">
      <c r="A4" s="1" t="s">
        <v>148</v>
      </c>
      <c r="B4" s="1" t="s">
        <v>149</v>
      </c>
      <c r="C4" s="1" t="s">
        <v>150</v>
      </c>
      <c r="D4" s="1" t="s">
        <v>151</v>
      </c>
      <c r="E4" s="1" t="s">
        <v>152</v>
      </c>
      <c r="F4" s="1" t="s">
        <v>153</v>
      </c>
      <c r="G4" s="1" t="s">
        <v>154</v>
      </c>
      <c r="H4" s="1" t="s">
        <v>155</v>
      </c>
      <c r="I4" s="1" t="s">
        <v>156</v>
      </c>
      <c r="J4" s="1" t="s">
        <v>157</v>
      </c>
      <c r="K4" s="1" t="s">
        <v>158</v>
      </c>
      <c r="L4" s="1" t="s">
        <v>159</v>
      </c>
      <c r="M4" s="1" t="s">
        <v>160</v>
      </c>
      <c r="N4" s="1" t="s">
        <v>161</v>
      </c>
      <c r="O4" s="1" t="s">
        <v>162</v>
      </c>
    </row>
    <row r="5" spans="1:15" ht="30" customHeight="1" x14ac:dyDescent="0.2">
      <c r="A5" s="5">
        <v>1</v>
      </c>
      <c r="B5" s="5" t="s">
        <v>163</v>
      </c>
      <c r="C5" s="5" t="s">
        <v>164</v>
      </c>
      <c r="D5" s="5" t="s">
        <v>165</v>
      </c>
      <c r="E5" s="5" t="s">
        <v>166</v>
      </c>
      <c r="F5" s="5" t="s">
        <v>167</v>
      </c>
      <c r="G5" s="5" t="s">
        <v>168</v>
      </c>
      <c r="H5" s="5" t="s">
        <v>169</v>
      </c>
      <c r="I5" s="5" t="s">
        <v>169</v>
      </c>
      <c r="J5" s="5" t="s">
        <v>170</v>
      </c>
      <c r="K5" s="5"/>
      <c r="L5" s="5" t="s">
        <v>171</v>
      </c>
      <c r="M5" s="5" t="s">
        <v>172</v>
      </c>
      <c r="N5" s="5" t="s">
        <v>173</v>
      </c>
      <c r="O5" s="5" t="s">
        <v>174</v>
      </c>
    </row>
    <row r="6" spans="1:15" x14ac:dyDescent="0.2">
      <c r="A6" s="2">
        <v>1</v>
      </c>
      <c r="B6" s="6"/>
      <c r="C6" s="6"/>
      <c r="D6" s="6"/>
      <c r="E6" s="6"/>
      <c r="F6" s="6"/>
      <c r="G6" s="6"/>
      <c r="H6" s="6"/>
      <c r="I6" s="6"/>
      <c r="J6" s="6"/>
      <c r="K6" s="6"/>
      <c r="L6" s="6"/>
      <c r="M6" s="6"/>
      <c r="N6" s="6"/>
      <c r="O6" s="6"/>
    </row>
    <row r="7" spans="1:15" x14ac:dyDescent="0.2">
      <c r="A7" s="2">
        <v>2</v>
      </c>
      <c r="B7" s="6"/>
      <c r="C7" s="6"/>
      <c r="D7" s="6"/>
      <c r="E7" s="6"/>
      <c r="F7" s="6"/>
      <c r="G7" s="6"/>
      <c r="H7" s="6"/>
      <c r="I7" s="6"/>
      <c r="J7" s="6"/>
      <c r="K7" s="6"/>
      <c r="L7" s="6"/>
      <c r="M7" s="6"/>
      <c r="N7" s="6"/>
      <c r="O7" s="6"/>
    </row>
    <row r="8" spans="1:15" x14ac:dyDescent="0.2">
      <c r="A8" s="2">
        <v>3</v>
      </c>
      <c r="B8" s="6"/>
      <c r="C8" s="6"/>
      <c r="D8" s="6"/>
      <c r="E8" s="6"/>
      <c r="F8" s="6"/>
      <c r="G8" s="6"/>
      <c r="H8" s="6"/>
      <c r="I8" s="6"/>
      <c r="J8" s="6"/>
      <c r="K8" s="6"/>
      <c r="L8" s="6"/>
      <c r="M8" s="6"/>
      <c r="N8" s="6"/>
      <c r="O8" s="6"/>
    </row>
    <row r="9" spans="1:15" x14ac:dyDescent="0.2">
      <c r="A9" s="2">
        <v>4</v>
      </c>
      <c r="B9" s="6"/>
      <c r="C9" s="6"/>
      <c r="D9" s="6"/>
      <c r="E9" s="6"/>
      <c r="F9" s="6"/>
      <c r="G9" s="6"/>
      <c r="H9" s="6"/>
      <c r="I9" s="6"/>
      <c r="J9" s="6"/>
      <c r="K9" s="6"/>
      <c r="L9" s="6"/>
      <c r="M9" s="6"/>
      <c r="N9" s="6"/>
      <c r="O9" s="6"/>
    </row>
    <row r="10" spans="1:15" x14ac:dyDescent="0.2">
      <c r="A10" s="2">
        <v>5</v>
      </c>
      <c r="B10" s="6"/>
      <c r="C10" s="6"/>
      <c r="D10" s="6"/>
      <c r="E10" s="6"/>
      <c r="F10" s="6"/>
      <c r="G10" s="6"/>
      <c r="H10" s="6"/>
      <c r="I10" s="6"/>
      <c r="J10" s="6"/>
      <c r="K10" s="6"/>
      <c r="L10" s="6"/>
      <c r="M10" s="6"/>
      <c r="N10" s="6"/>
      <c r="O10" s="6"/>
    </row>
    <row r="11" spans="1:15" x14ac:dyDescent="0.2">
      <c r="A11" s="2">
        <v>6</v>
      </c>
      <c r="B11" s="6"/>
      <c r="C11" s="6"/>
      <c r="D11" s="6"/>
      <c r="E11" s="6"/>
      <c r="F11" s="6"/>
      <c r="G11" s="6"/>
      <c r="H11" s="6"/>
      <c r="I11" s="6"/>
      <c r="J11" s="6"/>
      <c r="K11" s="6"/>
      <c r="L11" s="6"/>
      <c r="M11" s="6"/>
      <c r="N11" s="6"/>
      <c r="O11" s="6"/>
    </row>
    <row r="12" spans="1:15" x14ac:dyDescent="0.2">
      <c r="A12" s="2">
        <v>7</v>
      </c>
      <c r="B12" s="6"/>
      <c r="C12" s="6"/>
      <c r="D12" s="6"/>
      <c r="E12" s="6"/>
      <c r="F12" s="6"/>
      <c r="G12" s="6"/>
      <c r="H12" s="6"/>
      <c r="I12" s="6"/>
      <c r="J12" s="6"/>
      <c r="K12" s="6"/>
      <c r="L12" s="6"/>
      <c r="M12" s="6"/>
      <c r="N12" s="6"/>
      <c r="O12" s="6"/>
    </row>
    <row r="13" spans="1:15" x14ac:dyDescent="0.2">
      <c r="A13" s="2">
        <v>8</v>
      </c>
      <c r="B13" s="6"/>
      <c r="C13" s="6"/>
      <c r="D13" s="6"/>
      <c r="E13" s="6"/>
      <c r="F13" s="6"/>
      <c r="G13" s="6"/>
      <c r="H13" s="6"/>
      <c r="I13" s="6"/>
      <c r="J13" s="6"/>
      <c r="K13" s="6"/>
      <c r="L13" s="6"/>
      <c r="M13" s="6"/>
      <c r="N13" s="6"/>
      <c r="O13" s="6"/>
    </row>
    <row r="14" spans="1:15" x14ac:dyDescent="0.2">
      <c r="A14" s="2">
        <v>9</v>
      </c>
      <c r="B14" s="6"/>
      <c r="C14" s="6"/>
      <c r="D14" s="6"/>
      <c r="E14" s="6"/>
      <c r="F14" s="6"/>
      <c r="G14" s="6"/>
      <c r="H14" s="6"/>
      <c r="I14" s="6"/>
      <c r="J14" s="6"/>
      <c r="K14" s="6"/>
      <c r="L14" s="6"/>
      <c r="M14" s="6"/>
      <c r="N14" s="6"/>
      <c r="O14" s="6"/>
    </row>
    <row r="15" spans="1:15" x14ac:dyDescent="0.2">
      <c r="A15" s="2">
        <v>10</v>
      </c>
      <c r="B15" s="6"/>
      <c r="C15" s="6"/>
      <c r="D15" s="6"/>
      <c r="E15" s="6"/>
      <c r="F15" s="6"/>
      <c r="G15" s="6"/>
      <c r="H15" s="6"/>
      <c r="I15" s="6"/>
      <c r="J15" s="6"/>
      <c r="K15" s="6"/>
      <c r="L15" s="6"/>
      <c r="M15" s="6"/>
      <c r="N15" s="6"/>
      <c r="O15" s="6"/>
    </row>
    <row r="16" spans="1:15" x14ac:dyDescent="0.2">
      <c r="A16" s="2">
        <v>11</v>
      </c>
      <c r="B16" s="6"/>
      <c r="C16" s="6"/>
      <c r="D16" s="6"/>
      <c r="E16" s="6"/>
      <c r="F16" s="6"/>
      <c r="G16" s="6"/>
      <c r="H16" s="6"/>
      <c r="I16" s="6"/>
      <c r="J16" s="6"/>
      <c r="K16" s="6"/>
      <c r="L16" s="6"/>
      <c r="M16" s="6"/>
      <c r="N16" s="6"/>
      <c r="O16" s="6"/>
    </row>
    <row r="17" spans="1:15" x14ac:dyDescent="0.2">
      <c r="A17" s="2">
        <v>12</v>
      </c>
      <c r="B17" s="6"/>
      <c r="C17" s="6"/>
      <c r="D17" s="6"/>
      <c r="E17" s="6"/>
      <c r="F17" s="6"/>
      <c r="G17" s="6"/>
      <c r="H17" s="6"/>
      <c r="I17" s="6"/>
      <c r="J17" s="6"/>
      <c r="K17" s="6"/>
      <c r="L17" s="6"/>
      <c r="M17" s="6"/>
      <c r="N17" s="6"/>
      <c r="O17" s="6"/>
    </row>
    <row r="18" spans="1:15" x14ac:dyDescent="0.2">
      <c r="A18" s="2">
        <v>13</v>
      </c>
      <c r="B18" s="6"/>
      <c r="C18" s="6"/>
      <c r="D18" s="6"/>
      <c r="E18" s="6"/>
      <c r="F18" s="6"/>
      <c r="G18" s="6"/>
      <c r="H18" s="6"/>
      <c r="I18" s="6"/>
      <c r="J18" s="6"/>
      <c r="K18" s="6"/>
      <c r="L18" s="6"/>
      <c r="M18" s="6"/>
      <c r="N18" s="6"/>
      <c r="O18" s="6"/>
    </row>
    <row r="19" spans="1:15" x14ac:dyDescent="0.2">
      <c r="A19" s="2">
        <v>14</v>
      </c>
      <c r="B19" s="6"/>
      <c r="C19" s="6"/>
      <c r="D19" s="6"/>
      <c r="E19" s="6"/>
      <c r="F19" s="6"/>
      <c r="G19" s="6"/>
      <c r="H19" s="6"/>
      <c r="I19" s="6"/>
      <c r="J19" s="6"/>
      <c r="K19" s="6"/>
      <c r="L19" s="6"/>
      <c r="M19" s="6"/>
      <c r="N19" s="6"/>
      <c r="O19" s="6"/>
    </row>
    <row r="20" spans="1:15" x14ac:dyDescent="0.2">
      <c r="A20" s="2">
        <v>15</v>
      </c>
      <c r="B20" s="6"/>
      <c r="C20" s="6"/>
      <c r="D20" s="6"/>
      <c r="E20" s="6"/>
      <c r="F20" s="6"/>
      <c r="G20" s="6"/>
      <c r="H20" s="6"/>
      <c r="I20" s="6"/>
      <c r="J20" s="6"/>
      <c r="K20" s="6"/>
      <c r="L20" s="6"/>
      <c r="M20" s="6"/>
      <c r="N20" s="6"/>
      <c r="O20" s="6"/>
    </row>
    <row r="21" spans="1:15" x14ac:dyDescent="0.2">
      <c r="A21" s="2">
        <v>16</v>
      </c>
      <c r="B21" s="6"/>
      <c r="C21" s="6"/>
      <c r="D21" s="6"/>
      <c r="E21" s="6"/>
      <c r="F21" s="6"/>
      <c r="G21" s="6"/>
      <c r="H21" s="6"/>
      <c r="I21" s="6"/>
      <c r="J21" s="6"/>
      <c r="K21" s="6"/>
      <c r="L21" s="6"/>
      <c r="M21" s="6"/>
      <c r="N21" s="6"/>
      <c r="O21" s="6"/>
    </row>
    <row r="22" spans="1:15" x14ac:dyDescent="0.2">
      <c r="A22" s="2">
        <v>17</v>
      </c>
      <c r="B22" s="6"/>
      <c r="C22" s="6"/>
      <c r="D22" s="6"/>
      <c r="E22" s="6"/>
      <c r="F22" s="6"/>
      <c r="G22" s="6"/>
      <c r="H22" s="6"/>
      <c r="I22" s="6"/>
      <c r="J22" s="6"/>
      <c r="K22" s="6"/>
      <c r="L22" s="6"/>
      <c r="M22" s="6"/>
      <c r="N22" s="6"/>
      <c r="O22" s="6"/>
    </row>
    <row r="23" spans="1:15" x14ac:dyDescent="0.2">
      <c r="A23" s="2">
        <v>18</v>
      </c>
      <c r="B23" s="6"/>
      <c r="C23" s="6"/>
      <c r="D23" s="6"/>
      <c r="E23" s="6"/>
      <c r="F23" s="6"/>
      <c r="G23" s="6"/>
      <c r="H23" s="6"/>
      <c r="I23" s="6"/>
      <c r="J23" s="6"/>
      <c r="K23" s="6"/>
      <c r="L23" s="6"/>
      <c r="M23" s="6"/>
      <c r="N23" s="6"/>
      <c r="O23" s="6"/>
    </row>
    <row r="24" spans="1:15" x14ac:dyDescent="0.2">
      <c r="A24" s="2">
        <v>19</v>
      </c>
      <c r="B24" s="6"/>
      <c r="C24" s="6"/>
      <c r="D24" s="6"/>
      <c r="E24" s="6"/>
      <c r="F24" s="6"/>
      <c r="G24" s="6"/>
      <c r="H24" s="6"/>
      <c r="I24" s="6"/>
      <c r="J24" s="6"/>
      <c r="K24" s="6"/>
      <c r="L24" s="6"/>
      <c r="M24" s="6"/>
      <c r="N24" s="6"/>
      <c r="O24" s="6"/>
    </row>
    <row r="25" spans="1:15" x14ac:dyDescent="0.2">
      <c r="A25" s="2">
        <v>20</v>
      </c>
      <c r="B25" s="6"/>
      <c r="C25" s="6"/>
      <c r="D25" s="6"/>
      <c r="E25" s="6"/>
      <c r="F25" s="6"/>
      <c r="G25" s="6"/>
      <c r="H25" s="6"/>
      <c r="I25" s="6"/>
      <c r="J25" s="6"/>
      <c r="K25" s="6"/>
      <c r="L25" s="6"/>
      <c r="M25" s="6"/>
      <c r="N25" s="6"/>
      <c r="O25" s="6"/>
    </row>
    <row r="26" spans="1:15" x14ac:dyDescent="0.2">
      <c r="A26" s="2">
        <v>21</v>
      </c>
      <c r="B26" s="6"/>
      <c r="C26" s="6"/>
      <c r="D26" s="6"/>
      <c r="E26" s="6"/>
      <c r="F26" s="6"/>
      <c r="G26" s="6"/>
      <c r="H26" s="6"/>
      <c r="I26" s="6"/>
      <c r="J26" s="6"/>
      <c r="K26" s="6"/>
      <c r="L26" s="6"/>
      <c r="M26" s="6"/>
      <c r="N26" s="6"/>
      <c r="O26" s="6"/>
    </row>
    <row r="27" spans="1:15" x14ac:dyDescent="0.2">
      <c r="A27" s="2">
        <v>22</v>
      </c>
      <c r="B27" s="6"/>
      <c r="C27" s="6"/>
      <c r="D27" s="6"/>
      <c r="E27" s="6"/>
      <c r="F27" s="6"/>
      <c r="G27" s="6"/>
      <c r="H27" s="6"/>
      <c r="I27" s="6"/>
      <c r="J27" s="6"/>
      <c r="K27" s="6"/>
      <c r="L27" s="6"/>
      <c r="M27" s="6"/>
      <c r="N27" s="6"/>
      <c r="O27" s="6"/>
    </row>
    <row r="28" spans="1:15" x14ac:dyDescent="0.2">
      <c r="A28" s="2">
        <v>23</v>
      </c>
      <c r="B28" s="6"/>
      <c r="C28" s="6"/>
      <c r="D28" s="6"/>
      <c r="E28" s="6"/>
      <c r="F28" s="6"/>
      <c r="G28" s="6"/>
      <c r="H28" s="6"/>
      <c r="I28" s="6"/>
      <c r="J28" s="6"/>
      <c r="K28" s="6"/>
      <c r="L28" s="6"/>
      <c r="M28" s="6"/>
      <c r="N28" s="6"/>
      <c r="O28" s="6"/>
    </row>
    <row r="29" spans="1:15" x14ac:dyDescent="0.2">
      <c r="A29" s="2">
        <v>24</v>
      </c>
      <c r="B29" s="6"/>
      <c r="C29" s="6"/>
      <c r="D29" s="6"/>
      <c r="E29" s="6"/>
      <c r="F29" s="6"/>
      <c r="G29" s="6"/>
      <c r="H29" s="6"/>
      <c r="I29" s="6"/>
      <c r="J29" s="6"/>
      <c r="K29" s="6"/>
      <c r="L29" s="6"/>
      <c r="M29" s="6"/>
      <c r="N29" s="6"/>
      <c r="O29" s="6"/>
    </row>
    <row r="30" spans="1:15" x14ac:dyDescent="0.2">
      <c r="A30" s="2">
        <v>25</v>
      </c>
      <c r="B30" s="6"/>
      <c r="C30" s="6"/>
      <c r="D30" s="6"/>
      <c r="E30" s="6"/>
      <c r="F30" s="6"/>
      <c r="G30" s="6"/>
      <c r="H30" s="6"/>
      <c r="I30" s="6"/>
      <c r="J30" s="6"/>
      <c r="K30" s="6"/>
      <c r="L30" s="6"/>
      <c r="M30" s="6"/>
      <c r="N30" s="6"/>
      <c r="O30" s="6"/>
    </row>
    <row r="31" spans="1:15" x14ac:dyDescent="0.2">
      <c r="A31" s="2">
        <v>26</v>
      </c>
      <c r="B31" s="6"/>
      <c r="C31" s="6"/>
      <c r="D31" s="6"/>
      <c r="E31" s="6"/>
      <c r="F31" s="6"/>
      <c r="G31" s="6"/>
      <c r="H31" s="6"/>
      <c r="I31" s="6"/>
      <c r="J31" s="6"/>
      <c r="K31" s="6"/>
      <c r="L31" s="6"/>
      <c r="M31" s="6"/>
      <c r="N31" s="6"/>
      <c r="O31" s="6"/>
    </row>
    <row r="32" spans="1:15" x14ac:dyDescent="0.2">
      <c r="A32" s="2">
        <v>27</v>
      </c>
      <c r="B32" s="6"/>
      <c r="C32" s="6"/>
      <c r="D32" s="6"/>
      <c r="E32" s="6"/>
      <c r="F32" s="6"/>
      <c r="G32" s="6"/>
      <c r="H32" s="6"/>
      <c r="I32" s="6"/>
      <c r="J32" s="6"/>
      <c r="K32" s="6"/>
      <c r="L32" s="6"/>
      <c r="M32" s="6"/>
      <c r="N32" s="6"/>
      <c r="O32" s="6"/>
    </row>
    <row r="33" spans="1:15" x14ac:dyDescent="0.2">
      <c r="A33" s="2">
        <v>28</v>
      </c>
      <c r="B33" s="6"/>
      <c r="C33" s="6"/>
      <c r="D33" s="6"/>
      <c r="E33" s="6"/>
      <c r="F33" s="6"/>
      <c r="G33" s="6"/>
      <c r="H33" s="6"/>
      <c r="I33" s="6"/>
      <c r="J33" s="6"/>
      <c r="K33" s="6"/>
      <c r="L33" s="6"/>
      <c r="M33" s="6"/>
      <c r="N33" s="6"/>
      <c r="O33" s="6"/>
    </row>
    <row r="34" spans="1:15" x14ac:dyDescent="0.2">
      <c r="A34" s="2">
        <v>29</v>
      </c>
      <c r="B34" s="6"/>
      <c r="C34" s="6"/>
      <c r="D34" s="6"/>
      <c r="E34" s="6"/>
      <c r="F34" s="6"/>
      <c r="G34" s="6"/>
      <c r="H34" s="6"/>
      <c r="I34" s="6"/>
      <c r="J34" s="6"/>
      <c r="K34" s="6"/>
      <c r="L34" s="6"/>
      <c r="M34" s="6"/>
      <c r="N34" s="6"/>
      <c r="O34" s="6"/>
    </row>
    <row r="35" spans="1:15" x14ac:dyDescent="0.2">
      <c r="A35" s="2">
        <v>30</v>
      </c>
      <c r="B35" s="6"/>
      <c r="C35" s="6"/>
      <c r="D35" s="6"/>
      <c r="E35" s="6"/>
      <c r="F35" s="6"/>
      <c r="G35" s="6"/>
      <c r="H35" s="6"/>
      <c r="I35" s="6"/>
      <c r="J35" s="6"/>
      <c r="K35" s="6"/>
      <c r="L35" s="6"/>
      <c r="M35" s="6"/>
      <c r="N35" s="6"/>
      <c r="O35" s="6"/>
    </row>
    <row r="36" spans="1:15" x14ac:dyDescent="0.2">
      <c r="A36" s="2">
        <v>31</v>
      </c>
      <c r="B36" s="6"/>
      <c r="C36" s="6"/>
      <c r="D36" s="6"/>
      <c r="E36" s="6"/>
      <c r="F36" s="6"/>
      <c r="G36" s="6"/>
      <c r="H36" s="6"/>
      <c r="I36" s="6"/>
      <c r="J36" s="6"/>
      <c r="K36" s="6"/>
      <c r="L36" s="6"/>
      <c r="M36" s="6"/>
      <c r="N36" s="6"/>
      <c r="O36" s="6"/>
    </row>
    <row r="37" spans="1:15" x14ac:dyDescent="0.2">
      <c r="A37" s="2">
        <v>32</v>
      </c>
      <c r="B37" s="6"/>
      <c r="C37" s="6"/>
      <c r="D37" s="6"/>
      <c r="E37" s="6"/>
      <c r="F37" s="6"/>
      <c r="G37" s="6"/>
      <c r="H37" s="6"/>
      <c r="I37" s="6"/>
      <c r="J37" s="6"/>
      <c r="K37" s="6"/>
      <c r="L37" s="6"/>
      <c r="M37" s="6"/>
      <c r="N37" s="6"/>
      <c r="O37" s="6"/>
    </row>
    <row r="38" spans="1:15" x14ac:dyDescent="0.2">
      <c r="A38" s="2">
        <v>33</v>
      </c>
      <c r="B38" s="6"/>
      <c r="C38" s="6"/>
      <c r="D38" s="6"/>
      <c r="E38" s="6"/>
      <c r="F38" s="6"/>
      <c r="G38" s="6"/>
      <c r="H38" s="6"/>
      <c r="I38" s="6"/>
      <c r="J38" s="6"/>
      <c r="K38" s="6"/>
      <c r="L38" s="6"/>
      <c r="M38" s="6"/>
      <c r="N38" s="6"/>
      <c r="O38" s="6"/>
    </row>
    <row r="39" spans="1:15" x14ac:dyDescent="0.2">
      <c r="A39" s="2">
        <v>34</v>
      </c>
      <c r="B39" s="6"/>
      <c r="C39" s="6"/>
      <c r="D39" s="6"/>
      <c r="E39" s="6"/>
      <c r="F39" s="6"/>
      <c r="G39" s="6"/>
      <c r="H39" s="6"/>
      <c r="I39" s="6"/>
      <c r="J39" s="6"/>
      <c r="K39" s="6"/>
      <c r="L39" s="6"/>
      <c r="M39" s="6"/>
      <c r="N39" s="6"/>
      <c r="O39" s="6"/>
    </row>
    <row r="40" spans="1:15" x14ac:dyDescent="0.2">
      <c r="A40" s="2">
        <v>35</v>
      </c>
      <c r="B40" s="6"/>
      <c r="C40" s="6"/>
      <c r="D40" s="6"/>
      <c r="E40" s="6"/>
      <c r="F40" s="6"/>
      <c r="G40" s="6"/>
      <c r="H40" s="6"/>
      <c r="I40" s="6"/>
      <c r="J40" s="6"/>
      <c r="K40" s="6"/>
      <c r="L40" s="6"/>
      <c r="M40" s="6"/>
      <c r="N40" s="6"/>
      <c r="O40" s="6"/>
    </row>
    <row r="41" spans="1:15" x14ac:dyDescent="0.2">
      <c r="A41" s="2">
        <v>36</v>
      </c>
      <c r="B41" s="6"/>
      <c r="C41" s="6"/>
      <c r="D41" s="6"/>
      <c r="E41" s="6"/>
      <c r="F41" s="6"/>
      <c r="G41" s="6"/>
      <c r="H41" s="6"/>
      <c r="I41" s="6"/>
      <c r="J41" s="6"/>
      <c r="K41" s="6"/>
      <c r="L41" s="6"/>
      <c r="M41" s="6"/>
      <c r="N41" s="6"/>
      <c r="O41" s="6"/>
    </row>
    <row r="42" spans="1:15" x14ac:dyDescent="0.2">
      <c r="A42" s="2">
        <v>37</v>
      </c>
      <c r="B42" s="6"/>
      <c r="C42" s="6"/>
      <c r="D42" s="6"/>
      <c r="E42" s="6"/>
      <c r="F42" s="6"/>
      <c r="G42" s="6"/>
      <c r="H42" s="6"/>
      <c r="I42" s="6"/>
      <c r="J42" s="6"/>
      <c r="K42" s="6"/>
      <c r="L42" s="6"/>
      <c r="M42" s="6"/>
      <c r="N42" s="6"/>
      <c r="O42" s="6"/>
    </row>
    <row r="43" spans="1:15" x14ac:dyDescent="0.2">
      <c r="A43" s="2">
        <v>38</v>
      </c>
      <c r="B43" s="6"/>
      <c r="C43" s="6"/>
      <c r="D43" s="6"/>
      <c r="E43" s="6"/>
      <c r="F43" s="6"/>
      <c r="G43" s="6"/>
      <c r="H43" s="6"/>
      <c r="I43" s="6"/>
      <c r="J43" s="6"/>
      <c r="K43" s="6"/>
      <c r="L43" s="6"/>
      <c r="M43" s="6"/>
      <c r="N43" s="6"/>
      <c r="O43" s="6"/>
    </row>
    <row r="44" spans="1:15" x14ac:dyDescent="0.2">
      <c r="A44" s="2">
        <v>39</v>
      </c>
      <c r="B44" s="6"/>
      <c r="C44" s="6"/>
      <c r="D44" s="6"/>
      <c r="E44" s="6"/>
      <c r="F44" s="6"/>
      <c r="G44" s="6"/>
      <c r="H44" s="6"/>
      <c r="I44" s="6"/>
      <c r="J44" s="6"/>
      <c r="K44" s="6"/>
      <c r="L44" s="6"/>
      <c r="M44" s="6"/>
      <c r="N44" s="6"/>
      <c r="O44" s="6"/>
    </row>
    <row r="45" spans="1:15" x14ac:dyDescent="0.2">
      <c r="A45" s="2">
        <v>40</v>
      </c>
      <c r="B45" s="6"/>
      <c r="C45" s="6"/>
      <c r="D45" s="6"/>
      <c r="E45" s="6"/>
      <c r="F45" s="6"/>
      <c r="G45" s="6"/>
      <c r="H45" s="6"/>
      <c r="I45" s="6"/>
      <c r="J45" s="6"/>
      <c r="K45" s="6"/>
      <c r="L45" s="6"/>
      <c r="M45" s="6"/>
      <c r="N45" s="6"/>
      <c r="O45" s="6"/>
    </row>
    <row r="46" spans="1:15" x14ac:dyDescent="0.2">
      <c r="A46" s="2">
        <v>41</v>
      </c>
      <c r="B46" s="6"/>
      <c r="C46" s="6"/>
      <c r="D46" s="6"/>
      <c r="E46" s="6"/>
      <c r="F46" s="6"/>
      <c r="G46" s="6"/>
      <c r="H46" s="6"/>
      <c r="I46" s="6"/>
      <c r="J46" s="6"/>
      <c r="K46" s="6"/>
      <c r="L46" s="6"/>
      <c r="M46" s="6"/>
      <c r="N46" s="6"/>
      <c r="O46" s="6"/>
    </row>
    <row r="47" spans="1:15" x14ac:dyDescent="0.2">
      <c r="A47" s="2">
        <v>42</v>
      </c>
      <c r="B47" s="6"/>
      <c r="C47" s="6"/>
      <c r="D47" s="6"/>
      <c r="E47" s="6"/>
      <c r="F47" s="6"/>
      <c r="G47" s="6"/>
      <c r="H47" s="6"/>
      <c r="I47" s="6"/>
      <c r="J47" s="6"/>
      <c r="K47" s="6"/>
      <c r="L47" s="6"/>
      <c r="M47" s="6"/>
      <c r="N47" s="6"/>
      <c r="O47" s="6"/>
    </row>
    <row r="48" spans="1:15" x14ac:dyDescent="0.2">
      <c r="A48" s="2">
        <v>43</v>
      </c>
      <c r="B48" s="6"/>
      <c r="C48" s="6"/>
      <c r="D48" s="6"/>
      <c r="E48" s="6"/>
      <c r="F48" s="6"/>
      <c r="G48" s="6"/>
      <c r="H48" s="6"/>
      <c r="I48" s="6"/>
      <c r="J48" s="6"/>
      <c r="K48" s="6"/>
      <c r="L48" s="6"/>
      <c r="M48" s="6"/>
      <c r="N48" s="6"/>
      <c r="O48" s="6"/>
    </row>
    <row r="49" spans="1:15" x14ac:dyDescent="0.2">
      <c r="A49" s="2">
        <v>44</v>
      </c>
      <c r="B49" s="6"/>
      <c r="C49" s="6"/>
      <c r="D49" s="6"/>
      <c r="E49" s="6"/>
      <c r="F49" s="6"/>
      <c r="G49" s="6"/>
      <c r="H49" s="6"/>
      <c r="I49" s="6"/>
      <c r="J49" s="6"/>
      <c r="K49" s="6"/>
      <c r="L49" s="6"/>
      <c r="M49" s="6"/>
      <c r="N49" s="6"/>
      <c r="O49" s="6"/>
    </row>
    <row r="50" spans="1:15" x14ac:dyDescent="0.2">
      <c r="A50" s="2">
        <v>45</v>
      </c>
      <c r="B50" s="6"/>
      <c r="C50" s="6"/>
      <c r="D50" s="6"/>
      <c r="E50" s="6"/>
      <c r="F50" s="6"/>
      <c r="G50" s="6"/>
      <c r="H50" s="6"/>
      <c r="I50" s="6"/>
      <c r="J50" s="6"/>
      <c r="K50" s="6"/>
      <c r="L50" s="6"/>
      <c r="M50" s="6"/>
      <c r="N50" s="6"/>
      <c r="O50" s="6"/>
    </row>
    <row r="51" spans="1:15" x14ac:dyDescent="0.2">
      <c r="A51" s="2">
        <v>46</v>
      </c>
      <c r="B51" s="6"/>
      <c r="C51" s="6"/>
      <c r="D51" s="6"/>
      <c r="E51" s="6"/>
      <c r="F51" s="6"/>
      <c r="G51" s="6"/>
      <c r="H51" s="6"/>
      <c r="I51" s="6"/>
      <c r="J51" s="6"/>
      <c r="K51" s="6"/>
      <c r="L51" s="6"/>
      <c r="M51" s="6"/>
      <c r="N51" s="6"/>
      <c r="O51" s="6"/>
    </row>
    <row r="52" spans="1:15" x14ac:dyDescent="0.2">
      <c r="A52" s="2">
        <v>47</v>
      </c>
      <c r="B52" s="6"/>
      <c r="C52" s="6"/>
      <c r="D52" s="6"/>
      <c r="E52" s="6"/>
      <c r="F52" s="6"/>
      <c r="G52" s="6"/>
      <c r="H52" s="6"/>
      <c r="I52" s="6"/>
      <c r="J52" s="6"/>
      <c r="K52" s="6"/>
      <c r="L52" s="6"/>
      <c r="M52" s="6"/>
      <c r="N52" s="6"/>
      <c r="O52" s="6"/>
    </row>
    <row r="53" spans="1:15" x14ac:dyDescent="0.2">
      <c r="A53" s="2">
        <v>48</v>
      </c>
      <c r="B53" s="6"/>
      <c r="C53" s="6"/>
      <c r="D53" s="6"/>
      <c r="E53" s="6"/>
      <c r="F53" s="6"/>
      <c r="G53" s="6"/>
      <c r="H53" s="6"/>
      <c r="I53" s="6"/>
      <c r="J53" s="6"/>
      <c r="K53" s="6"/>
      <c r="L53" s="6"/>
      <c r="M53" s="6"/>
      <c r="N53" s="6"/>
      <c r="O53" s="6"/>
    </row>
    <row r="54" spans="1:15" x14ac:dyDescent="0.2">
      <c r="A54" s="2">
        <v>49</v>
      </c>
      <c r="B54" s="6"/>
      <c r="C54" s="6"/>
      <c r="D54" s="6"/>
      <c r="E54" s="6"/>
      <c r="F54" s="6"/>
      <c r="G54" s="6"/>
      <c r="H54" s="6"/>
      <c r="I54" s="6"/>
      <c r="J54" s="6"/>
      <c r="K54" s="6"/>
      <c r="L54" s="6"/>
      <c r="M54" s="6"/>
      <c r="N54" s="6"/>
      <c r="O54" s="6"/>
    </row>
    <row r="55" spans="1:15" x14ac:dyDescent="0.2">
      <c r="A55" s="2">
        <v>50</v>
      </c>
      <c r="B55" s="6"/>
      <c r="C55" s="6"/>
      <c r="D55" s="6"/>
      <c r="E55" s="6"/>
      <c r="F55" s="6"/>
      <c r="G55" s="6"/>
      <c r="H55" s="6"/>
      <c r="I55" s="6"/>
      <c r="J55" s="6"/>
      <c r="K55" s="6"/>
      <c r="L55" s="6"/>
      <c r="M55" s="6"/>
      <c r="N55" s="6"/>
      <c r="O55" s="6"/>
    </row>
    <row r="56" spans="1:15" x14ac:dyDescent="0.2">
      <c r="A56" s="2">
        <v>51</v>
      </c>
      <c r="B56" s="6"/>
      <c r="C56" s="6"/>
      <c r="D56" s="6"/>
      <c r="E56" s="6"/>
      <c r="F56" s="6"/>
      <c r="G56" s="6"/>
      <c r="H56" s="6"/>
      <c r="I56" s="6"/>
      <c r="J56" s="6"/>
      <c r="K56" s="6"/>
      <c r="L56" s="6"/>
      <c r="M56" s="6"/>
      <c r="N56" s="6"/>
      <c r="O56" s="6"/>
    </row>
    <row r="57" spans="1:15" x14ac:dyDescent="0.2">
      <c r="A57" s="2">
        <v>52</v>
      </c>
      <c r="B57" s="6"/>
      <c r="C57" s="6"/>
      <c r="D57" s="6"/>
      <c r="E57" s="6"/>
      <c r="F57" s="6"/>
      <c r="G57" s="6"/>
      <c r="H57" s="6"/>
      <c r="I57" s="6"/>
      <c r="J57" s="6"/>
      <c r="K57" s="6"/>
      <c r="L57" s="6"/>
      <c r="M57" s="6"/>
      <c r="N57" s="6"/>
      <c r="O57" s="6"/>
    </row>
    <row r="58" spans="1:15" x14ac:dyDescent="0.2">
      <c r="A58" s="2">
        <v>53</v>
      </c>
      <c r="B58" s="6"/>
      <c r="C58" s="6"/>
      <c r="D58" s="6"/>
      <c r="E58" s="6"/>
      <c r="F58" s="6"/>
      <c r="G58" s="6"/>
      <c r="H58" s="6"/>
      <c r="I58" s="6"/>
      <c r="J58" s="6"/>
      <c r="K58" s="6"/>
      <c r="L58" s="6"/>
      <c r="M58" s="6"/>
      <c r="N58" s="6"/>
      <c r="O58" s="6"/>
    </row>
    <row r="59" spans="1:15" x14ac:dyDescent="0.2">
      <c r="A59" s="2">
        <v>54</v>
      </c>
      <c r="B59" s="6"/>
      <c r="C59" s="6"/>
      <c r="D59" s="6"/>
      <c r="E59" s="6"/>
      <c r="F59" s="6"/>
      <c r="G59" s="6"/>
      <c r="H59" s="6"/>
      <c r="I59" s="6"/>
      <c r="J59" s="6"/>
      <c r="K59" s="6"/>
      <c r="L59" s="6"/>
      <c r="M59" s="6"/>
      <c r="N59" s="6"/>
      <c r="O59" s="6"/>
    </row>
    <row r="60" spans="1:15" x14ac:dyDescent="0.2">
      <c r="A60" s="2">
        <v>55</v>
      </c>
      <c r="B60" s="6"/>
      <c r="C60" s="6"/>
      <c r="D60" s="6"/>
      <c r="E60" s="6"/>
      <c r="F60" s="6"/>
      <c r="G60" s="6"/>
      <c r="H60" s="6"/>
      <c r="I60" s="6"/>
      <c r="J60" s="6"/>
      <c r="K60" s="6"/>
      <c r="L60" s="6"/>
      <c r="M60" s="6"/>
      <c r="N60" s="6"/>
      <c r="O60" s="6"/>
    </row>
    <row r="61" spans="1:15" x14ac:dyDescent="0.2">
      <c r="A61" s="2">
        <v>56</v>
      </c>
      <c r="B61" s="6"/>
      <c r="C61" s="6"/>
      <c r="D61" s="6"/>
      <c r="E61" s="6"/>
      <c r="F61" s="6"/>
      <c r="G61" s="6"/>
      <c r="H61" s="6"/>
      <c r="I61" s="6"/>
      <c r="J61" s="6"/>
      <c r="K61" s="6"/>
      <c r="L61" s="6"/>
      <c r="M61" s="6"/>
      <c r="N61" s="6"/>
      <c r="O61" s="6"/>
    </row>
    <row r="62" spans="1:15" x14ac:dyDescent="0.2">
      <c r="A62" s="2">
        <v>57</v>
      </c>
      <c r="B62" s="6"/>
      <c r="C62" s="6"/>
      <c r="D62" s="6"/>
      <c r="E62" s="6"/>
      <c r="F62" s="6"/>
      <c r="G62" s="6"/>
      <c r="H62" s="6"/>
      <c r="I62" s="6"/>
      <c r="J62" s="6"/>
      <c r="K62" s="6"/>
      <c r="L62" s="6"/>
      <c r="M62" s="6"/>
      <c r="N62" s="6"/>
      <c r="O62" s="6"/>
    </row>
    <row r="63" spans="1:15" x14ac:dyDescent="0.2">
      <c r="A63" s="2">
        <v>58</v>
      </c>
      <c r="B63" s="6"/>
      <c r="C63" s="6"/>
      <c r="D63" s="6"/>
      <c r="E63" s="6"/>
      <c r="F63" s="6"/>
      <c r="G63" s="6"/>
      <c r="H63" s="6"/>
      <c r="I63" s="6"/>
      <c r="J63" s="6"/>
      <c r="K63" s="6"/>
      <c r="L63" s="6"/>
      <c r="M63" s="6"/>
      <c r="N63" s="6"/>
      <c r="O63" s="6"/>
    </row>
    <row r="64" spans="1:15" x14ac:dyDescent="0.2">
      <c r="A64" s="2">
        <v>59</v>
      </c>
      <c r="B64" s="6"/>
      <c r="C64" s="6"/>
      <c r="D64" s="6"/>
      <c r="E64" s="6"/>
      <c r="F64" s="6"/>
      <c r="G64" s="6"/>
      <c r="H64" s="6"/>
      <c r="I64" s="6"/>
      <c r="J64" s="6"/>
      <c r="K64" s="6"/>
      <c r="L64" s="6"/>
      <c r="M64" s="6"/>
      <c r="N64" s="6"/>
      <c r="O64" s="6"/>
    </row>
    <row r="65" spans="1:15" x14ac:dyDescent="0.2">
      <c r="A65" s="2">
        <v>60</v>
      </c>
      <c r="B65" s="6"/>
      <c r="C65" s="6"/>
      <c r="D65" s="6"/>
      <c r="E65" s="6"/>
      <c r="F65" s="6"/>
      <c r="G65" s="6"/>
      <c r="H65" s="6"/>
      <c r="I65" s="6"/>
      <c r="J65" s="6"/>
      <c r="K65" s="6"/>
      <c r="L65" s="6"/>
      <c r="M65" s="6"/>
      <c r="N65" s="6"/>
      <c r="O65" s="6"/>
    </row>
    <row r="66" spans="1:15" x14ac:dyDescent="0.2">
      <c r="A66" s="2">
        <v>61</v>
      </c>
      <c r="B66" s="6"/>
      <c r="C66" s="6"/>
      <c r="D66" s="6"/>
      <c r="E66" s="6"/>
      <c r="F66" s="6"/>
      <c r="G66" s="6"/>
      <c r="H66" s="6"/>
      <c r="I66" s="6"/>
      <c r="J66" s="6"/>
      <c r="K66" s="6"/>
      <c r="L66" s="6"/>
      <c r="M66" s="6"/>
      <c r="N66" s="6"/>
      <c r="O66" s="6"/>
    </row>
    <row r="67" spans="1:15" x14ac:dyDescent="0.2">
      <c r="A67" s="2">
        <v>62</v>
      </c>
      <c r="B67" s="6"/>
      <c r="C67" s="6"/>
      <c r="D67" s="6"/>
      <c r="E67" s="6"/>
      <c r="F67" s="6"/>
      <c r="G67" s="6"/>
      <c r="H67" s="6"/>
      <c r="I67" s="6"/>
      <c r="J67" s="6"/>
      <c r="K67" s="6"/>
      <c r="L67" s="6"/>
      <c r="M67" s="6"/>
      <c r="N67" s="6"/>
      <c r="O67" s="6"/>
    </row>
    <row r="68" spans="1:15" x14ac:dyDescent="0.2">
      <c r="A68" s="2">
        <v>63</v>
      </c>
      <c r="B68" s="6"/>
      <c r="C68" s="6"/>
      <c r="D68" s="6"/>
      <c r="E68" s="6"/>
      <c r="F68" s="6"/>
      <c r="G68" s="6"/>
      <c r="H68" s="6"/>
      <c r="I68" s="6"/>
      <c r="J68" s="6"/>
      <c r="K68" s="6"/>
      <c r="L68" s="6"/>
      <c r="M68" s="6"/>
      <c r="N68" s="6"/>
      <c r="O68" s="6"/>
    </row>
    <row r="69" spans="1:15" x14ac:dyDescent="0.2">
      <c r="A69" s="2">
        <v>64</v>
      </c>
      <c r="B69" s="6"/>
      <c r="C69" s="6"/>
      <c r="D69" s="6"/>
      <c r="E69" s="6"/>
      <c r="F69" s="6"/>
      <c r="G69" s="6"/>
      <c r="H69" s="6"/>
      <c r="I69" s="6"/>
      <c r="J69" s="6"/>
      <c r="K69" s="6"/>
      <c r="L69" s="6"/>
      <c r="M69" s="6"/>
      <c r="N69" s="6"/>
      <c r="O69" s="6"/>
    </row>
    <row r="70" spans="1:15" x14ac:dyDescent="0.2">
      <c r="A70" s="2">
        <v>65</v>
      </c>
      <c r="B70" s="6"/>
      <c r="C70" s="6"/>
      <c r="D70" s="6"/>
      <c r="E70" s="6"/>
      <c r="F70" s="6"/>
      <c r="G70" s="6"/>
      <c r="H70" s="6"/>
      <c r="I70" s="6"/>
      <c r="J70" s="6"/>
      <c r="K70" s="6"/>
      <c r="L70" s="6"/>
      <c r="M70" s="6"/>
      <c r="N70" s="6"/>
      <c r="O70" s="6"/>
    </row>
    <row r="71" spans="1:15" x14ac:dyDescent="0.2">
      <c r="A71" s="2">
        <v>66</v>
      </c>
      <c r="B71" s="6"/>
      <c r="C71" s="6"/>
      <c r="D71" s="6"/>
      <c r="E71" s="6"/>
      <c r="F71" s="6"/>
      <c r="G71" s="6"/>
      <c r="H71" s="6"/>
      <c r="I71" s="6"/>
      <c r="J71" s="6"/>
      <c r="K71" s="6"/>
      <c r="L71" s="6"/>
      <c r="M71" s="6"/>
      <c r="N71" s="6"/>
      <c r="O71" s="6"/>
    </row>
    <row r="72" spans="1:15" x14ac:dyDescent="0.2">
      <c r="A72" s="2">
        <v>67</v>
      </c>
      <c r="B72" s="6"/>
      <c r="C72" s="6"/>
      <c r="D72" s="6"/>
      <c r="E72" s="6"/>
      <c r="F72" s="6"/>
      <c r="G72" s="6"/>
      <c r="H72" s="6"/>
      <c r="I72" s="6"/>
      <c r="J72" s="6"/>
      <c r="K72" s="6"/>
      <c r="L72" s="6"/>
      <c r="M72" s="6"/>
      <c r="N72" s="6"/>
      <c r="O72" s="6"/>
    </row>
    <row r="73" spans="1:15" x14ac:dyDescent="0.2">
      <c r="A73" s="2">
        <v>68</v>
      </c>
      <c r="B73" s="6"/>
      <c r="C73" s="6"/>
      <c r="D73" s="6"/>
      <c r="E73" s="6"/>
      <c r="F73" s="6"/>
      <c r="G73" s="6"/>
      <c r="H73" s="6"/>
      <c r="I73" s="6"/>
      <c r="J73" s="6"/>
      <c r="K73" s="6"/>
      <c r="L73" s="6"/>
      <c r="M73" s="6"/>
      <c r="N73" s="6"/>
      <c r="O73" s="6"/>
    </row>
    <row r="74" spans="1:15" x14ac:dyDescent="0.2">
      <c r="A74" s="2">
        <v>69</v>
      </c>
      <c r="B74" s="6"/>
      <c r="C74" s="6"/>
      <c r="D74" s="6"/>
      <c r="E74" s="6"/>
      <c r="F74" s="6"/>
      <c r="G74" s="6"/>
      <c r="H74" s="6"/>
      <c r="I74" s="6"/>
      <c r="J74" s="6"/>
      <c r="K74" s="6"/>
      <c r="L74" s="6"/>
      <c r="M74" s="6"/>
      <c r="N74" s="6"/>
      <c r="O74" s="6"/>
    </row>
    <row r="75" spans="1:15" x14ac:dyDescent="0.2">
      <c r="A75" s="2">
        <v>70</v>
      </c>
      <c r="B75" s="6"/>
      <c r="C75" s="6"/>
      <c r="D75" s="6"/>
      <c r="E75" s="6"/>
      <c r="F75" s="6"/>
      <c r="G75" s="6"/>
      <c r="H75" s="6"/>
      <c r="I75" s="6"/>
      <c r="J75" s="6"/>
      <c r="K75" s="6"/>
      <c r="L75" s="6"/>
      <c r="M75" s="6"/>
      <c r="N75" s="6"/>
      <c r="O75" s="6"/>
    </row>
    <row r="76" spans="1:15" x14ac:dyDescent="0.2">
      <c r="A76" s="2">
        <v>71</v>
      </c>
      <c r="B76" s="6"/>
      <c r="C76" s="6"/>
      <c r="D76" s="6"/>
      <c r="E76" s="6"/>
      <c r="F76" s="6"/>
      <c r="G76" s="6"/>
      <c r="H76" s="6"/>
      <c r="I76" s="6"/>
      <c r="J76" s="6"/>
      <c r="K76" s="6"/>
      <c r="L76" s="6"/>
      <c r="M76" s="6"/>
      <c r="N76" s="6"/>
      <c r="O76" s="6"/>
    </row>
    <row r="77" spans="1:15" x14ac:dyDescent="0.2">
      <c r="A77" s="2">
        <v>72</v>
      </c>
      <c r="B77" s="6"/>
      <c r="C77" s="6"/>
      <c r="D77" s="6"/>
      <c r="E77" s="6"/>
      <c r="F77" s="6"/>
      <c r="G77" s="6"/>
      <c r="H77" s="6"/>
      <c r="I77" s="6"/>
      <c r="J77" s="6"/>
      <c r="K77" s="6"/>
      <c r="L77" s="6"/>
      <c r="M77" s="6"/>
      <c r="N77" s="6"/>
      <c r="O77" s="6"/>
    </row>
    <row r="78" spans="1:15" x14ac:dyDescent="0.2">
      <c r="A78" s="2">
        <v>73</v>
      </c>
      <c r="B78" s="6"/>
      <c r="C78" s="6"/>
      <c r="D78" s="6"/>
      <c r="E78" s="6"/>
      <c r="F78" s="6"/>
      <c r="G78" s="6"/>
      <c r="H78" s="6"/>
      <c r="I78" s="6"/>
      <c r="J78" s="6"/>
      <c r="K78" s="6"/>
      <c r="L78" s="6"/>
      <c r="M78" s="6"/>
      <c r="N78" s="6"/>
      <c r="O78" s="6"/>
    </row>
    <row r="79" spans="1:15" x14ac:dyDescent="0.2">
      <c r="A79" s="2">
        <v>74</v>
      </c>
      <c r="B79" s="6"/>
      <c r="C79" s="6"/>
      <c r="D79" s="6"/>
      <c r="E79" s="6"/>
      <c r="F79" s="6"/>
      <c r="G79" s="6"/>
      <c r="H79" s="6"/>
      <c r="I79" s="6"/>
      <c r="J79" s="6"/>
      <c r="K79" s="6"/>
      <c r="L79" s="6"/>
      <c r="M79" s="6"/>
      <c r="N79" s="6"/>
      <c r="O79" s="6"/>
    </row>
    <row r="80" spans="1:15" x14ac:dyDescent="0.2">
      <c r="A80" s="2">
        <v>75</v>
      </c>
      <c r="B80" s="6"/>
      <c r="C80" s="6"/>
      <c r="D80" s="6"/>
      <c r="E80" s="6"/>
      <c r="F80" s="6"/>
      <c r="G80" s="6"/>
      <c r="H80" s="6"/>
      <c r="I80" s="6"/>
      <c r="J80" s="6"/>
      <c r="K80" s="6"/>
      <c r="L80" s="6"/>
      <c r="M80" s="6"/>
      <c r="N80" s="6"/>
      <c r="O80" s="6"/>
    </row>
    <row r="81" spans="1:15" x14ac:dyDescent="0.2">
      <c r="A81" s="2">
        <v>76</v>
      </c>
      <c r="B81" s="6"/>
      <c r="C81" s="6"/>
      <c r="D81" s="6"/>
      <c r="E81" s="6"/>
      <c r="F81" s="6"/>
      <c r="G81" s="6"/>
      <c r="H81" s="6"/>
      <c r="I81" s="6"/>
      <c r="J81" s="6"/>
      <c r="K81" s="6"/>
      <c r="L81" s="6"/>
      <c r="M81" s="6"/>
      <c r="N81" s="6"/>
      <c r="O81" s="6"/>
    </row>
    <row r="82" spans="1:15" x14ac:dyDescent="0.2">
      <c r="A82" s="2">
        <v>77</v>
      </c>
      <c r="B82" s="6"/>
      <c r="C82" s="6"/>
      <c r="D82" s="6"/>
      <c r="E82" s="6"/>
      <c r="F82" s="6"/>
      <c r="G82" s="6"/>
      <c r="H82" s="6"/>
      <c r="I82" s="6"/>
      <c r="J82" s="6"/>
      <c r="K82" s="6"/>
      <c r="L82" s="6"/>
      <c r="M82" s="6"/>
      <c r="N82" s="6"/>
      <c r="O82" s="6"/>
    </row>
    <row r="83" spans="1:15" x14ac:dyDescent="0.2">
      <c r="A83" s="2">
        <v>78</v>
      </c>
      <c r="B83" s="6"/>
      <c r="C83" s="6"/>
      <c r="D83" s="6"/>
      <c r="E83" s="6"/>
      <c r="F83" s="6"/>
      <c r="G83" s="6"/>
      <c r="H83" s="6"/>
      <c r="I83" s="6"/>
      <c r="J83" s="6"/>
      <c r="K83" s="6"/>
      <c r="L83" s="6"/>
      <c r="M83" s="6"/>
      <c r="N83" s="6"/>
      <c r="O83" s="6"/>
    </row>
    <row r="84" spans="1:15" x14ac:dyDescent="0.2">
      <c r="A84" s="2">
        <v>79</v>
      </c>
      <c r="B84" s="6"/>
      <c r="C84" s="6"/>
      <c r="D84" s="6"/>
      <c r="E84" s="6"/>
      <c r="F84" s="6"/>
      <c r="G84" s="6"/>
      <c r="H84" s="6"/>
      <c r="I84" s="6"/>
      <c r="J84" s="6"/>
      <c r="K84" s="6"/>
      <c r="L84" s="6"/>
      <c r="M84" s="6"/>
      <c r="N84" s="6"/>
      <c r="O84" s="6"/>
    </row>
    <row r="85" spans="1:15" x14ac:dyDescent="0.2">
      <c r="A85" s="2">
        <v>80</v>
      </c>
      <c r="B85" s="6"/>
      <c r="C85" s="6"/>
      <c r="D85" s="6"/>
      <c r="E85" s="6"/>
      <c r="F85" s="6"/>
      <c r="G85" s="6"/>
      <c r="H85" s="6"/>
      <c r="I85" s="6"/>
      <c r="J85" s="6"/>
      <c r="K85" s="6"/>
      <c r="L85" s="6"/>
      <c r="M85" s="6"/>
      <c r="N85" s="6"/>
      <c r="O85" s="6"/>
    </row>
    <row r="86" spans="1:15" x14ac:dyDescent="0.2">
      <c r="A86" s="2">
        <v>81</v>
      </c>
      <c r="B86" s="6"/>
      <c r="C86" s="6"/>
      <c r="D86" s="6"/>
      <c r="E86" s="6"/>
      <c r="F86" s="6"/>
      <c r="G86" s="6"/>
      <c r="H86" s="6"/>
      <c r="I86" s="6"/>
      <c r="J86" s="6"/>
      <c r="K86" s="6"/>
      <c r="L86" s="6"/>
      <c r="M86" s="6"/>
      <c r="N86" s="6"/>
      <c r="O86" s="6"/>
    </row>
    <row r="87" spans="1:15" x14ac:dyDescent="0.2">
      <c r="A87" s="2">
        <v>82</v>
      </c>
      <c r="B87" s="6"/>
      <c r="C87" s="6"/>
      <c r="D87" s="6"/>
      <c r="E87" s="6"/>
      <c r="F87" s="6"/>
      <c r="G87" s="6"/>
      <c r="H87" s="6"/>
      <c r="I87" s="6"/>
      <c r="J87" s="6"/>
      <c r="K87" s="6"/>
      <c r="L87" s="6"/>
      <c r="M87" s="6"/>
      <c r="N87" s="6"/>
      <c r="O87" s="6"/>
    </row>
    <row r="88" spans="1:15" x14ac:dyDescent="0.2">
      <c r="A88" s="2">
        <v>83</v>
      </c>
      <c r="B88" s="6"/>
      <c r="C88" s="6"/>
      <c r="D88" s="6"/>
      <c r="E88" s="6"/>
      <c r="F88" s="6"/>
      <c r="G88" s="6"/>
      <c r="H88" s="6"/>
      <c r="I88" s="6"/>
      <c r="J88" s="6"/>
      <c r="K88" s="6"/>
      <c r="L88" s="6"/>
      <c r="M88" s="6"/>
      <c r="N88" s="6"/>
      <c r="O88" s="6"/>
    </row>
    <row r="89" spans="1:15" x14ac:dyDescent="0.2">
      <c r="A89" s="2">
        <v>84</v>
      </c>
      <c r="B89" s="6"/>
      <c r="C89" s="6"/>
      <c r="D89" s="6"/>
      <c r="E89" s="6"/>
      <c r="F89" s="6"/>
      <c r="G89" s="6"/>
      <c r="H89" s="6"/>
      <c r="I89" s="6"/>
      <c r="J89" s="6"/>
      <c r="K89" s="6"/>
      <c r="L89" s="6"/>
      <c r="M89" s="6"/>
      <c r="N89" s="6"/>
      <c r="O89" s="6"/>
    </row>
    <row r="90" spans="1:15" x14ac:dyDescent="0.2">
      <c r="A90" s="2">
        <v>85</v>
      </c>
      <c r="B90" s="6"/>
      <c r="C90" s="6"/>
      <c r="D90" s="6"/>
      <c r="E90" s="6"/>
      <c r="F90" s="6"/>
      <c r="G90" s="6"/>
      <c r="H90" s="6"/>
      <c r="I90" s="6"/>
      <c r="J90" s="6"/>
      <c r="K90" s="6"/>
      <c r="L90" s="6"/>
      <c r="M90" s="6"/>
      <c r="N90" s="6"/>
      <c r="O90" s="6"/>
    </row>
    <row r="91" spans="1:15" x14ac:dyDescent="0.2">
      <c r="A91" s="2">
        <v>86</v>
      </c>
      <c r="B91" s="6"/>
      <c r="C91" s="6"/>
      <c r="D91" s="6"/>
      <c r="E91" s="6"/>
      <c r="F91" s="6"/>
      <c r="G91" s="6"/>
      <c r="H91" s="6"/>
      <c r="I91" s="6"/>
      <c r="J91" s="6"/>
      <c r="K91" s="6"/>
      <c r="L91" s="6"/>
      <c r="M91" s="6"/>
      <c r="N91" s="6"/>
      <c r="O91" s="6"/>
    </row>
    <row r="92" spans="1:15" x14ac:dyDescent="0.2">
      <c r="A92" s="2">
        <v>87</v>
      </c>
      <c r="B92" s="6"/>
      <c r="C92" s="6"/>
      <c r="D92" s="6"/>
      <c r="E92" s="6"/>
      <c r="F92" s="6"/>
      <c r="G92" s="6"/>
      <c r="H92" s="6"/>
      <c r="I92" s="6"/>
      <c r="J92" s="6"/>
      <c r="K92" s="6"/>
      <c r="L92" s="6"/>
      <c r="M92" s="6"/>
      <c r="N92" s="6"/>
      <c r="O92" s="6"/>
    </row>
    <row r="93" spans="1:15" x14ac:dyDescent="0.2">
      <c r="A93" s="2">
        <v>88</v>
      </c>
      <c r="B93" s="6"/>
      <c r="C93" s="6"/>
      <c r="D93" s="6"/>
      <c r="E93" s="6"/>
      <c r="F93" s="6"/>
      <c r="G93" s="6"/>
      <c r="H93" s="6"/>
      <c r="I93" s="6"/>
      <c r="J93" s="6"/>
      <c r="K93" s="6"/>
      <c r="L93" s="6"/>
      <c r="M93" s="6"/>
      <c r="N93" s="6"/>
      <c r="O93" s="6"/>
    </row>
    <row r="94" spans="1:15" x14ac:dyDescent="0.2">
      <c r="A94" s="2">
        <v>89</v>
      </c>
      <c r="B94" s="6"/>
      <c r="C94" s="6"/>
      <c r="D94" s="6"/>
      <c r="E94" s="6"/>
      <c r="F94" s="6"/>
      <c r="G94" s="6"/>
      <c r="H94" s="6"/>
      <c r="I94" s="6"/>
      <c r="J94" s="6"/>
      <c r="K94" s="6"/>
      <c r="L94" s="6"/>
      <c r="M94" s="6"/>
      <c r="N94" s="6"/>
      <c r="O94" s="6"/>
    </row>
    <row r="95" spans="1:15" x14ac:dyDescent="0.2">
      <c r="A95" s="2">
        <v>90</v>
      </c>
      <c r="B95" s="6"/>
      <c r="C95" s="6"/>
      <c r="D95" s="6"/>
      <c r="E95" s="6"/>
      <c r="F95" s="6"/>
      <c r="G95" s="6"/>
      <c r="H95" s="6"/>
      <c r="I95" s="6"/>
      <c r="J95" s="6"/>
      <c r="K95" s="6"/>
      <c r="L95" s="6"/>
      <c r="M95" s="6"/>
      <c r="N95" s="6"/>
      <c r="O95" s="6"/>
    </row>
    <row r="96" spans="1:15" x14ac:dyDescent="0.2">
      <c r="A96" s="2">
        <v>91</v>
      </c>
      <c r="B96" s="6"/>
      <c r="C96" s="6"/>
      <c r="D96" s="6"/>
      <c r="E96" s="6"/>
      <c r="F96" s="6"/>
      <c r="G96" s="6"/>
      <c r="H96" s="6"/>
      <c r="I96" s="6"/>
      <c r="J96" s="6"/>
      <c r="K96" s="6"/>
      <c r="L96" s="6"/>
      <c r="M96" s="6"/>
      <c r="N96" s="6"/>
      <c r="O96" s="6"/>
    </row>
    <row r="97" spans="1:15" x14ac:dyDescent="0.2">
      <c r="A97" s="2">
        <v>92</v>
      </c>
      <c r="B97" s="6"/>
      <c r="C97" s="6"/>
      <c r="D97" s="6"/>
      <c r="E97" s="6"/>
      <c r="F97" s="6"/>
      <c r="G97" s="6"/>
      <c r="H97" s="6"/>
      <c r="I97" s="6"/>
      <c r="J97" s="6"/>
      <c r="K97" s="6"/>
      <c r="L97" s="6"/>
      <c r="M97" s="6"/>
      <c r="N97" s="6"/>
      <c r="O97" s="6"/>
    </row>
    <row r="98" spans="1:15" x14ac:dyDescent="0.2">
      <c r="A98" s="2">
        <v>93</v>
      </c>
      <c r="B98" s="6"/>
      <c r="C98" s="6"/>
      <c r="D98" s="6"/>
      <c r="E98" s="6"/>
      <c r="F98" s="6"/>
      <c r="G98" s="6"/>
      <c r="H98" s="6"/>
      <c r="I98" s="6"/>
      <c r="J98" s="6"/>
      <c r="K98" s="6"/>
      <c r="L98" s="6"/>
      <c r="M98" s="6"/>
      <c r="N98" s="6"/>
      <c r="O98" s="6"/>
    </row>
    <row r="99" spans="1:15" x14ac:dyDescent="0.2">
      <c r="A99" s="2">
        <v>94</v>
      </c>
      <c r="B99" s="6"/>
      <c r="C99" s="6"/>
      <c r="D99" s="6"/>
      <c r="E99" s="6"/>
      <c r="F99" s="6"/>
      <c r="G99" s="6"/>
      <c r="H99" s="6"/>
      <c r="I99" s="6"/>
      <c r="J99" s="6"/>
      <c r="K99" s="6"/>
      <c r="L99" s="6"/>
      <c r="M99" s="6"/>
      <c r="N99" s="6"/>
      <c r="O99" s="6"/>
    </row>
    <row r="100" spans="1:15" x14ac:dyDescent="0.2">
      <c r="A100" s="2">
        <v>95</v>
      </c>
      <c r="B100" s="6"/>
      <c r="C100" s="6"/>
      <c r="D100" s="6"/>
      <c r="E100" s="6"/>
      <c r="F100" s="6"/>
      <c r="G100" s="6"/>
      <c r="H100" s="6"/>
      <c r="I100" s="6"/>
      <c r="J100" s="6"/>
      <c r="K100" s="6"/>
      <c r="L100" s="6"/>
      <c r="M100" s="6"/>
      <c r="N100" s="6"/>
      <c r="O100" s="6"/>
    </row>
    <row r="101" spans="1:15" x14ac:dyDescent="0.2">
      <c r="A101" s="2">
        <v>96</v>
      </c>
      <c r="B101" s="6"/>
      <c r="C101" s="6"/>
      <c r="D101" s="6"/>
      <c r="E101" s="6"/>
      <c r="F101" s="6"/>
      <c r="G101" s="6"/>
      <c r="H101" s="6"/>
      <c r="I101" s="6"/>
      <c r="J101" s="6"/>
      <c r="K101" s="6"/>
      <c r="L101" s="6"/>
      <c r="M101" s="6"/>
      <c r="N101" s="6"/>
      <c r="O101" s="6"/>
    </row>
    <row r="102" spans="1:15" x14ac:dyDescent="0.2">
      <c r="A102" s="2">
        <v>97</v>
      </c>
      <c r="B102" s="6"/>
      <c r="C102" s="6"/>
      <c r="D102" s="6"/>
      <c r="E102" s="6"/>
      <c r="F102" s="6"/>
      <c r="G102" s="6"/>
      <c r="H102" s="6"/>
      <c r="I102" s="6"/>
      <c r="J102" s="6"/>
      <c r="K102" s="6"/>
      <c r="L102" s="6"/>
      <c r="M102" s="6"/>
      <c r="N102" s="6"/>
      <c r="O102" s="6"/>
    </row>
    <row r="103" spans="1:15" x14ac:dyDescent="0.2">
      <c r="A103" s="2">
        <v>98</v>
      </c>
      <c r="B103" s="6"/>
      <c r="C103" s="6"/>
      <c r="D103" s="6"/>
      <c r="E103" s="6"/>
      <c r="F103" s="6"/>
      <c r="G103" s="6"/>
      <c r="H103" s="6"/>
      <c r="I103" s="6"/>
      <c r="J103" s="6"/>
      <c r="K103" s="6"/>
      <c r="L103" s="6"/>
      <c r="M103" s="6"/>
      <c r="N103" s="6"/>
      <c r="O103" s="6"/>
    </row>
    <row r="104" spans="1:15" x14ac:dyDescent="0.2">
      <c r="A104" s="2">
        <v>99</v>
      </c>
      <c r="B104" s="6"/>
      <c r="C104" s="6"/>
      <c r="D104" s="6"/>
      <c r="E104" s="6"/>
      <c r="F104" s="6"/>
      <c r="G104" s="6"/>
      <c r="H104" s="6"/>
      <c r="I104" s="6"/>
      <c r="J104" s="6"/>
      <c r="K104" s="6"/>
      <c r="L104" s="6"/>
      <c r="M104" s="6"/>
      <c r="N104" s="6"/>
      <c r="O104" s="6"/>
    </row>
    <row r="105" spans="1:15" x14ac:dyDescent="0.2">
      <c r="A105" s="2">
        <v>100</v>
      </c>
      <c r="B105" s="6"/>
      <c r="C105" s="6"/>
      <c r="D105" s="6"/>
      <c r="E105" s="6"/>
      <c r="F105" s="6"/>
      <c r="G105" s="6"/>
      <c r="H105" s="6"/>
      <c r="I105" s="6"/>
      <c r="J105" s="6"/>
      <c r="K105" s="6"/>
      <c r="L105" s="6"/>
      <c r="M105" s="6"/>
      <c r="N105" s="6"/>
      <c r="O105" s="6"/>
    </row>
  </sheetData>
  <mergeCells count="2">
    <mergeCell ref="A1:N1"/>
    <mergeCell ref="A3:N3"/>
  </mergeCells>
  <dataValidations count="3">
    <dataValidation type="list" allowBlank="1" sqref="E6:E105" xr:uid="{00000000-0002-0000-0100-000000000000}">
      <formula1>"Freelancer,Agency"</formula1>
      <formula2>0</formula2>
    </dataValidation>
    <dataValidation type="list" allowBlank="1" sqref="L6:L105" xr:uid="{00000000-0002-0000-0100-000001000000}">
      <formula1>"New,Warm,Converted,Cold"</formula1>
      <formula2>0</formula2>
    </dataValidation>
    <dataValidation type="list" allowBlank="1" sqref="M6:N105" xr:uid="{00000000-0002-0000-0100-000002000000}">
      <formula1>"Yes,No"</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6"/>
  <sheetViews>
    <sheetView showGridLines="0" topLeftCell="A27" zoomScaleNormal="100" workbookViewId="0">
      <selection activeCell="B34" sqref="B34"/>
    </sheetView>
  </sheetViews>
  <sheetFormatPr baseColWidth="10" defaultColWidth="8.6640625" defaultRowHeight="15" x14ac:dyDescent="0.2"/>
  <cols>
    <col min="1" max="1" width="26" customWidth="1"/>
    <col min="2" max="2" width="76.6640625" customWidth="1"/>
    <col min="3" max="3" width="67.6640625" customWidth="1"/>
  </cols>
  <sheetData>
    <row r="1" spans="1:2" ht="25.5" customHeight="1" x14ac:dyDescent="0.2">
      <c r="A1" s="35" t="s">
        <v>175</v>
      </c>
      <c r="B1" s="35"/>
    </row>
    <row r="4" spans="1:2" ht="18" customHeight="1" x14ac:dyDescent="0.2">
      <c r="A4" s="34" t="s">
        <v>176</v>
      </c>
      <c r="B4" s="34"/>
    </row>
    <row r="5" spans="1:2" ht="30" customHeight="1" x14ac:dyDescent="0.2">
      <c r="A5" s="7" t="s">
        <v>177</v>
      </c>
      <c r="B5" s="4" t="s">
        <v>552</v>
      </c>
    </row>
    <row r="6" spans="1:2" ht="30" customHeight="1" x14ac:dyDescent="0.2">
      <c r="A6" s="7" t="s">
        <v>178</v>
      </c>
      <c r="B6" s="4" t="s">
        <v>179</v>
      </c>
    </row>
    <row r="8" spans="1:2" ht="18" customHeight="1" x14ac:dyDescent="0.2">
      <c r="A8" s="34" t="s">
        <v>180</v>
      </c>
      <c r="B8" s="34"/>
    </row>
    <row r="9" spans="1:2" ht="30" customHeight="1" x14ac:dyDescent="0.2">
      <c r="A9" s="7" t="s">
        <v>181</v>
      </c>
      <c r="B9" s="4" t="s">
        <v>182</v>
      </c>
    </row>
    <row r="10" spans="1:2" ht="30" customHeight="1" x14ac:dyDescent="0.2">
      <c r="A10" s="7" t="s">
        <v>183</v>
      </c>
      <c r="B10" s="4" t="s">
        <v>184</v>
      </c>
    </row>
    <row r="12" spans="1:2" ht="18" customHeight="1" x14ac:dyDescent="0.2">
      <c r="A12" s="34" t="s">
        <v>185</v>
      </c>
      <c r="B12" s="34"/>
    </row>
    <row r="13" spans="1:2" ht="30" customHeight="1" x14ac:dyDescent="0.2">
      <c r="A13" s="7" t="s">
        <v>186</v>
      </c>
      <c r="B13" s="4" t="s">
        <v>187</v>
      </c>
    </row>
    <row r="14" spans="1:2" ht="30" customHeight="1" x14ac:dyDescent="0.2">
      <c r="A14" s="7" t="s">
        <v>188</v>
      </c>
      <c r="B14" s="4" t="s">
        <v>189</v>
      </c>
    </row>
    <row r="16" spans="1:2" ht="18" customHeight="1" x14ac:dyDescent="0.2">
      <c r="A16" s="34" t="s">
        <v>190</v>
      </c>
      <c r="B16" s="34"/>
    </row>
    <row r="17" spans="1:3" ht="45" customHeight="1" x14ac:dyDescent="0.2">
      <c r="A17" s="7" t="s">
        <v>191</v>
      </c>
      <c r="B17" s="4" t="s">
        <v>192</v>
      </c>
    </row>
    <row r="18" spans="1:3" ht="180" customHeight="1" x14ac:dyDescent="0.2">
      <c r="A18" s="7" t="s">
        <v>193</v>
      </c>
      <c r="B18" s="4" t="s">
        <v>556</v>
      </c>
    </row>
    <row r="20" spans="1:3" ht="18" customHeight="1" x14ac:dyDescent="0.2">
      <c r="A20" s="34" t="s">
        <v>194</v>
      </c>
      <c r="B20" s="34"/>
    </row>
    <row r="21" spans="1:3" ht="135" customHeight="1" x14ac:dyDescent="0.2">
      <c r="A21" s="7" t="s">
        <v>195</v>
      </c>
      <c r="B21" s="4" t="s">
        <v>196</v>
      </c>
    </row>
    <row r="24" spans="1:3" ht="20" x14ac:dyDescent="0.2">
      <c r="A24" s="37" t="s">
        <v>351</v>
      </c>
      <c r="B24" s="37"/>
      <c r="C24" s="37"/>
    </row>
    <row r="25" spans="1:3" x14ac:dyDescent="0.2">
      <c r="A25" s="38" t="s">
        <v>352</v>
      </c>
      <c r="B25" s="38"/>
      <c r="C25" s="38"/>
    </row>
    <row r="27" spans="1:3" x14ac:dyDescent="0.2">
      <c r="B27" s="14" t="s">
        <v>353</v>
      </c>
      <c r="C27" s="14" t="s">
        <v>354</v>
      </c>
    </row>
    <row r="28" spans="1:3" x14ac:dyDescent="0.2">
      <c r="A28" s="34" t="s">
        <v>355</v>
      </c>
      <c r="B28" s="34"/>
      <c r="C28" s="34"/>
    </row>
    <row r="29" spans="1:3" ht="48" x14ac:dyDescent="0.2">
      <c r="A29" s="7" t="s">
        <v>191</v>
      </c>
      <c r="B29" s="4" t="s">
        <v>356</v>
      </c>
      <c r="C29" s="4" t="s">
        <v>357</v>
      </c>
    </row>
    <row r="30" spans="1:3" ht="240" x14ac:dyDescent="0.2">
      <c r="A30" s="7" t="s">
        <v>358</v>
      </c>
      <c r="B30" s="4" t="s">
        <v>505</v>
      </c>
      <c r="C30" s="4" t="s">
        <v>359</v>
      </c>
    </row>
    <row r="32" spans="1:3" x14ac:dyDescent="0.2">
      <c r="A32" s="34" t="s">
        <v>360</v>
      </c>
      <c r="B32" s="34"/>
      <c r="C32" s="34"/>
    </row>
    <row r="33" spans="1:3" ht="16" x14ac:dyDescent="0.2">
      <c r="A33" s="7" t="s">
        <v>361</v>
      </c>
      <c r="B33" s="4" t="s">
        <v>362</v>
      </c>
      <c r="C33" s="4" t="s">
        <v>363</v>
      </c>
    </row>
    <row r="34" spans="1:3" ht="160" x14ac:dyDescent="0.2">
      <c r="A34" s="7" t="s">
        <v>358</v>
      </c>
      <c r="B34" s="4" t="s">
        <v>506</v>
      </c>
      <c r="C34" s="4" t="s">
        <v>364</v>
      </c>
    </row>
    <row r="36" spans="1:3" x14ac:dyDescent="0.2">
      <c r="A36" s="34" t="s">
        <v>365</v>
      </c>
      <c r="B36" s="34"/>
      <c r="C36" s="34"/>
    </row>
    <row r="37" spans="1:3" ht="16" x14ac:dyDescent="0.2">
      <c r="A37" s="7" t="s">
        <v>361</v>
      </c>
      <c r="B37" s="4" t="s">
        <v>366</v>
      </c>
      <c r="C37" s="4" t="s">
        <v>367</v>
      </c>
    </row>
    <row r="38" spans="1:3" ht="144" x14ac:dyDescent="0.2">
      <c r="A38" s="7" t="s">
        <v>358</v>
      </c>
      <c r="B38" s="4" t="s">
        <v>368</v>
      </c>
      <c r="C38" s="4" t="s">
        <v>369</v>
      </c>
    </row>
    <row r="40" spans="1:3" x14ac:dyDescent="0.2">
      <c r="A40" s="34" t="s">
        <v>370</v>
      </c>
      <c r="B40" s="34"/>
      <c r="C40" s="34"/>
    </row>
    <row r="41" spans="1:3" ht="16" x14ac:dyDescent="0.2">
      <c r="A41" s="7" t="s">
        <v>361</v>
      </c>
      <c r="B41" s="4" t="s">
        <v>371</v>
      </c>
      <c r="C41" s="4" t="s">
        <v>371</v>
      </c>
    </row>
    <row r="42" spans="1:3" ht="160" x14ac:dyDescent="0.2">
      <c r="A42" s="7" t="s">
        <v>358</v>
      </c>
      <c r="B42" s="4" t="s">
        <v>372</v>
      </c>
      <c r="C42" s="4" t="s">
        <v>373</v>
      </c>
    </row>
    <row r="44" spans="1:3" x14ac:dyDescent="0.2">
      <c r="A44" s="34" t="s">
        <v>374</v>
      </c>
      <c r="B44" s="34"/>
      <c r="C44" s="34"/>
    </row>
    <row r="45" spans="1:3" ht="16" x14ac:dyDescent="0.2">
      <c r="A45" s="7" t="s">
        <v>361</v>
      </c>
      <c r="B45" s="4" t="s">
        <v>375</v>
      </c>
      <c r="C45" s="4" t="s">
        <v>375</v>
      </c>
    </row>
    <row r="46" spans="1:3" ht="160" x14ac:dyDescent="0.2">
      <c r="A46" s="7" t="s">
        <v>358</v>
      </c>
      <c r="B46" s="4" t="s">
        <v>376</v>
      </c>
      <c r="C46" s="4" t="s">
        <v>377</v>
      </c>
    </row>
  </sheetData>
  <mergeCells count="13">
    <mergeCell ref="A40:C40"/>
    <mergeCell ref="A44:C44"/>
    <mergeCell ref="A24:C24"/>
    <mergeCell ref="A25:C25"/>
    <mergeCell ref="A28:C28"/>
    <mergeCell ref="A32:C32"/>
    <mergeCell ref="A36:C36"/>
    <mergeCell ref="A20:B20"/>
    <mergeCell ref="A1:B1"/>
    <mergeCell ref="A4:B4"/>
    <mergeCell ref="A8:B8"/>
    <mergeCell ref="A12:B12"/>
    <mergeCell ref="A16:B16"/>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48"/>
  <sheetViews>
    <sheetView showGridLines="0" topLeftCell="A3" zoomScaleNormal="100" workbookViewId="0">
      <selection activeCell="A17" sqref="A17"/>
    </sheetView>
  </sheetViews>
  <sheetFormatPr baseColWidth="10" defaultColWidth="8.6640625" defaultRowHeight="15" x14ac:dyDescent="0.2"/>
  <cols>
    <col min="1" max="1" width="46" customWidth="1"/>
    <col min="2" max="2" width="12" customWidth="1"/>
    <col min="3" max="3" width="10" customWidth="1"/>
    <col min="4" max="4" width="46" customWidth="1"/>
    <col min="5" max="5" width="12" customWidth="1"/>
  </cols>
  <sheetData>
    <row r="1" spans="1:5" ht="25.5" customHeight="1" x14ac:dyDescent="0.2">
      <c r="A1" s="35" t="s">
        <v>197</v>
      </c>
      <c r="B1" s="35"/>
      <c r="C1" s="35"/>
      <c r="D1" s="35"/>
      <c r="E1" s="35"/>
    </row>
    <row r="4" spans="1:5" x14ac:dyDescent="0.2">
      <c r="A4" s="1" t="s">
        <v>198</v>
      </c>
      <c r="B4" s="1" t="s">
        <v>199</v>
      </c>
      <c r="C4" s="1" t="s">
        <v>200</v>
      </c>
      <c r="D4" s="1" t="s">
        <v>201</v>
      </c>
      <c r="E4" s="1" t="s">
        <v>199</v>
      </c>
    </row>
    <row r="5" spans="1:5" x14ac:dyDescent="0.2">
      <c r="A5" s="8" t="s">
        <v>202</v>
      </c>
      <c r="B5" s="8" t="s">
        <v>203</v>
      </c>
      <c r="C5" s="9"/>
      <c r="D5" s="8" t="s">
        <v>204</v>
      </c>
      <c r="E5" s="8" t="s">
        <v>203</v>
      </c>
    </row>
    <row r="6" spans="1:5" x14ac:dyDescent="0.2">
      <c r="A6" s="6"/>
      <c r="B6" s="6"/>
      <c r="C6" s="6"/>
      <c r="D6" s="6"/>
      <c r="E6" s="6"/>
    </row>
    <row r="7" spans="1:5" x14ac:dyDescent="0.2">
      <c r="A7" s="6"/>
      <c r="B7" s="6"/>
      <c r="C7" s="6"/>
      <c r="D7" s="6"/>
      <c r="E7" s="6"/>
    </row>
    <row r="8" spans="1:5" x14ac:dyDescent="0.2">
      <c r="A8" s="6"/>
      <c r="B8" s="6"/>
      <c r="C8" s="6"/>
      <c r="D8" s="6"/>
      <c r="E8" s="6"/>
    </row>
    <row r="9" spans="1:5" x14ac:dyDescent="0.2">
      <c r="A9" s="6"/>
      <c r="B9" s="6"/>
      <c r="C9" s="6"/>
      <c r="D9" s="6"/>
      <c r="E9" s="6"/>
    </row>
    <row r="10" spans="1:5" x14ac:dyDescent="0.2">
      <c r="A10" s="6"/>
      <c r="B10" s="6"/>
      <c r="C10" s="6"/>
      <c r="D10" s="6"/>
      <c r="E10" s="6"/>
    </row>
    <row r="11" spans="1:5" x14ac:dyDescent="0.2">
      <c r="A11" s="6"/>
      <c r="B11" s="6"/>
      <c r="C11" s="6"/>
      <c r="D11" s="6"/>
      <c r="E11" s="6"/>
    </row>
    <row r="12" spans="1:5" x14ac:dyDescent="0.2">
      <c r="A12" s="6"/>
      <c r="B12" s="6"/>
      <c r="C12" s="6"/>
      <c r="D12" s="6"/>
      <c r="E12" s="6"/>
    </row>
    <row r="13" spans="1:5" x14ac:dyDescent="0.2">
      <c r="A13" s="6"/>
      <c r="B13" s="6"/>
      <c r="C13" s="6"/>
      <c r="D13" s="6"/>
      <c r="E13" s="6"/>
    </row>
    <row r="14" spans="1:5" x14ac:dyDescent="0.2">
      <c r="A14" s="6"/>
      <c r="B14" s="6"/>
      <c r="C14" s="6"/>
      <c r="D14" s="6"/>
      <c r="E14" s="6"/>
    </row>
    <row r="15" spans="1:5" x14ac:dyDescent="0.2">
      <c r="A15" s="6"/>
      <c r="B15" s="6"/>
      <c r="C15" s="6"/>
      <c r="D15" s="6"/>
      <c r="E15" s="6"/>
    </row>
    <row r="16" spans="1:5" x14ac:dyDescent="0.2">
      <c r="A16" s="6"/>
      <c r="B16" s="6"/>
      <c r="C16" s="6"/>
      <c r="D16" s="6"/>
      <c r="E16" s="6"/>
    </row>
    <row r="17" spans="1:5" x14ac:dyDescent="0.2">
      <c r="A17" s="6"/>
      <c r="B17" s="6"/>
      <c r="C17" s="6"/>
      <c r="D17" s="6"/>
      <c r="E17" s="6"/>
    </row>
    <row r="18" spans="1:5" x14ac:dyDescent="0.2">
      <c r="A18" s="6"/>
      <c r="B18" s="6"/>
      <c r="C18" s="6"/>
      <c r="D18" s="6"/>
      <c r="E18" s="6"/>
    </row>
    <row r="19" spans="1:5" x14ac:dyDescent="0.2">
      <c r="A19" s="6"/>
      <c r="B19" s="6"/>
      <c r="C19" s="6"/>
      <c r="D19" s="6"/>
      <c r="E19" s="6"/>
    </row>
    <row r="20" spans="1:5" x14ac:dyDescent="0.2">
      <c r="A20" s="6"/>
      <c r="B20" s="6"/>
      <c r="C20" s="6"/>
      <c r="D20" s="6"/>
      <c r="E20" s="6"/>
    </row>
    <row r="21" spans="1:5" x14ac:dyDescent="0.2">
      <c r="A21" s="6"/>
      <c r="B21" s="6"/>
      <c r="C21" s="6"/>
      <c r="D21" s="6"/>
      <c r="E21" s="6"/>
    </row>
    <row r="22" spans="1:5" x14ac:dyDescent="0.2">
      <c r="A22" s="6"/>
      <c r="B22" s="6"/>
      <c r="C22" s="6"/>
      <c r="D22" s="6"/>
      <c r="E22" s="6"/>
    </row>
    <row r="23" spans="1:5" x14ac:dyDescent="0.2">
      <c r="A23" s="6"/>
      <c r="B23" s="6"/>
      <c r="C23" s="6"/>
      <c r="D23" s="6"/>
      <c r="E23" s="6"/>
    </row>
    <row r="24" spans="1:5" x14ac:dyDescent="0.2">
      <c r="A24" s="6"/>
      <c r="B24" s="6"/>
      <c r="C24" s="6"/>
      <c r="D24" s="6"/>
      <c r="E24" s="6"/>
    </row>
    <row r="25" spans="1:5" x14ac:dyDescent="0.2">
      <c r="A25" s="6"/>
      <c r="B25" s="6"/>
      <c r="C25" s="6"/>
      <c r="D25" s="6"/>
      <c r="E25" s="6"/>
    </row>
    <row r="26" spans="1:5" x14ac:dyDescent="0.2">
      <c r="A26" s="6"/>
      <c r="B26" s="6"/>
      <c r="C26" s="6"/>
      <c r="D26" s="6"/>
      <c r="E26" s="6"/>
    </row>
    <row r="27" spans="1:5" x14ac:dyDescent="0.2">
      <c r="A27" s="6"/>
      <c r="B27" s="6"/>
      <c r="C27" s="6"/>
      <c r="D27" s="6"/>
      <c r="E27" s="6"/>
    </row>
    <row r="28" spans="1:5" x14ac:dyDescent="0.2">
      <c r="A28" s="6"/>
      <c r="B28" s="6"/>
      <c r="C28" s="6"/>
      <c r="D28" s="6"/>
      <c r="E28" s="6"/>
    </row>
    <row r="29" spans="1:5" x14ac:dyDescent="0.2">
      <c r="A29" s="6"/>
      <c r="B29" s="6"/>
      <c r="C29" s="6"/>
      <c r="D29" s="6"/>
      <c r="E29" s="6"/>
    </row>
    <row r="30" spans="1:5" x14ac:dyDescent="0.2">
      <c r="A30" s="6"/>
      <c r="B30" s="6"/>
      <c r="C30" s="6"/>
      <c r="D30" s="6"/>
      <c r="E30" s="6"/>
    </row>
    <row r="31" spans="1:5" x14ac:dyDescent="0.2">
      <c r="A31" s="6"/>
      <c r="B31" s="6"/>
      <c r="C31" s="6"/>
      <c r="D31" s="6"/>
      <c r="E31" s="6"/>
    </row>
    <row r="32" spans="1:5" x14ac:dyDescent="0.2">
      <c r="A32" s="6"/>
      <c r="B32" s="6"/>
      <c r="C32" s="6"/>
      <c r="D32" s="6"/>
      <c r="E32" s="6"/>
    </row>
    <row r="33" spans="1:5" x14ac:dyDescent="0.2">
      <c r="A33" s="6"/>
      <c r="B33" s="6"/>
      <c r="C33" s="6"/>
      <c r="D33" s="6"/>
      <c r="E33" s="6"/>
    </row>
    <row r="34" spans="1:5" x14ac:dyDescent="0.2">
      <c r="A34" s="6"/>
      <c r="B34" s="6"/>
      <c r="C34" s="6"/>
      <c r="D34" s="6"/>
      <c r="E34" s="6"/>
    </row>
    <row r="35" spans="1:5" x14ac:dyDescent="0.2">
      <c r="A35" s="6"/>
      <c r="B35" s="6"/>
      <c r="C35" s="6"/>
      <c r="D35" s="6"/>
      <c r="E35" s="6"/>
    </row>
    <row r="36" spans="1:5" x14ac:dyDescent="0.2">
      <c r="A36" s="6"/>
      <c r="B36" s="6"/>
      <c r="C36" s="6"/>
      <c r="D36" s="6"/>
      <c r="E36" s="6"/>
    </row>
    <row r="37" spans="1:5" x14ac:dyDescent="0.2">
      <c r="A37" s="6"/>
      <c r="B37" s="6"/>
      <c r="C37" s="6"/>
      <c r="D37" s="6"/>
      <c r="E37" s="6"/>
    </row>
    <row r="38" spans="1:5" x14ac:dyDescent="0.2">
      <c r="A38" s="6"/>
      <c r="B38" s="6"/>
      <c r="C38" s="6"/>
      <c r="D38" s="6"/>
      <c r="E38" s="6"/>
    </row>
    <row r="39" spans="1:5" x14ac:dyDescent="0.2">
      <c r="A39" s="6"/>
      <c r="B39" s="6"/>
      <c r="C39" s="6"/>
      <c r="D39" s="6"/>
      <c r="E39" s="6"/>
    </row>
    <row r="40" spans="1:5" x14ac:dyDescent="0.2">
      <c r="A40" s="6"/>
      <c r="B40" s="6"/>
      <c r="C40" s="6"/>
      <c r="D40" s="6"/>
      <c r="E40" s="6"/>
    </row>
    <row r="41" spans="1:5" x14ac:dyDescent="0.2">
      <c r="A41" s="6"/>
      <c r="B41" s="6"/>
      <c r="C41" s="6"/>
      <c r="D41" s="6"/>
      <c r="E41" s="6"/>
    </row>
    <row r="42" spans="1:5" x14ac:dyDescent="0.2">
      <c r="A42" s="6"/>
      <c r="B42" s="6"/>
      <c r="C42" s="6"/>
      <c r="D42" s="6"/>
      <c r="E42" s="6"/>
    </row>
    <row r="43" spans="1:5" x14ac:dyDescent="0.2">
      <c r="A43" s="6"/>
      <c r="B43" s="6"/>
      <c r="C43" s="6"/>
      <c r="D43" s="6"/>
      <c r="E43" s="6"/>
    </row>
    <row r="44" spans="1:5" x14ac:dyDescent="0.2">
      <c r="A44" s="6"/>
      <c r="B44" s="6"/>
      <c r="C44" s="6"/>
      <c r="D44" s="6"/>
      <c r="E44" s="6"/>
    </row>
    <row r="45" spans="1:5" x14ac:dyDescent="0.2">
      <c r="A45" s="6"/>
      <c r="B45" s="6"/>
      <c r="C45" s="6"/>
      <c r="D45" s="6"/>
      <c r="E45" s="6"/>
    </row>
    <row r="47" spans="1:5" x14ac:dyDescent="0.2">
      <c r="A47" s="39" t="s">
        <v>205</v>
      </c>
      <c r="B47" s="39"/>
      <c r="D47" s="39" t="s">
        <v>206</v>
      </c>
      <c r="E47" s="39"/>
    </row>
    <row r="48" spans="1:5" x14ac:dyDescent="0.2">
      <c r="A48" s="40" t="s">
        <v>207</v>
      </c>
      <c r="B48" s="40"/>
      <c r="D48" s="40" t="s">
        <v>208</v>
      </c>
      <c r="E48" s="40"/>
    </row>
  </sheetData>
  <mergeCells count="5">
    <mergeCell ref="A1:E1"/>
    <mergeCell ref="A47:B47"/>
    <mergeCell ref="D47:E47"/>
    <mergeCell ref="A48:B48"/>
    <mergeCell ref="D48:E48"/>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5"/>
  <sheetViews>
    <sheetView showGridLines="0" zoomScaleNormal="100" workbookViewId="0">
      <selection activeCell="D20" sqref="D20"/>
    </sheetView>
  </sheetViews>
  <sheetFormatPr baseColWidth="10" defaultColWidth="8.6640625" defaultRowHeight="15" x14ac:dyDescent="0.2"/>
  <cols>
    <col min="1" max="1" width="30" customWidth="1"/>
    <col min="2" max="9" width="10" customWidth="1"/>
  </cols>
  <sheetData>
    <row r="1" spans="1:9" ht="25.5" customHeight="1" x14ac:dyDescent="0.2">
      <c r="A1" s="35" t="s">
        <v>209</v>
      </c>
      <c r="B1" s="35"/>
      <c r="C1" s="35"/>
      <c r="D1" s="35"/>
      <c r="E1" s="35"/>
      <c r="F1" s="35"/>
      <c r="G1" s="35"/>
      <c r="H1" s="35"/>
      <c r="I1" s="35"/>
    </row>
    <row r="3" spans="1:9" x14ac:dyDescent="0.2">
      <c r="A3" s="1" t="s">
        <v>210</v>
      </c>
      <c r="B3" s="1" t="s">
        <v>211</v>
      </c>
      <c r="C3" s="1" t="s">
        <v>212</v>
      </c>
      <c r="D3" s="1" t="s">
        <v>213</v>
      </c>
      <c r="E3" s="1" t="s">
        <v>214</v>
      </c>
      <c r="F3" s="1" t="s">
        <v>215</v>
      </c>
      <c r="G3" s="1" t="s">
        <v>216</v>
      </c>
      <c r="H3" s="1" t="s">
        <v>217</v>
      </c>
      <c r="I3" s="1" t="s">
        <v>218</v>
      </c>
    </row>
    <row r="4" spans="1:9" x14ac:dyDescent="0.2">
      <c r="A4" s="6" t="s">
        <v>219</v>
      </c>
      <c r="B4" s="10">
        <v>0</v>
      </c>
      <c r="C4" s="10">
        <v>0</v>
      </c>
      <c r="D4" s="10">
        <v>0</v>
      </c>
      <c r="E4" s="10">
        <v>0</v>
      </c>
      <c r="F4" s="10">
        <v>0</v>
      </c>
      <c r="G4" s="10">
        <v>0</v>
      </c>
      <c r="H4" s="6">
        <f t="shared" ref="H4:H13" si="0">SUM(B4:G4)</f>
        <v>0</v>
      </c>
      <c r="I4" s="6">
        <v>350</v>
      </c>
    </row>
    <row r="5" spans="1:9" x14ac:dyDescent="0.2">
      <c r="A5" s="11" t="s">
        <v>220</v>
      </c>
      <c r="B5" s="12">
        <v>0</v>
      </c>
      <c r="C5" s="12">
        <v>0</v>
      </c>
      <c r="D5" s="12">
        <v>0</v>
      </c>
      <c r="E5" s="12">
        <v>0</v>
      </c>
      <c r="F5" s="12">
        <v>0</v>
      </c>
      <c r="G5" s="12">
        <v>0</v>
      </c>
      <c r="H5" s="11">
        <f t="shared" si="0"/>
        <v>0</v>
      </c>
      <c r="I5" s="11">
        <v>100</v>
      </c>
    </row>
    <row r="6" spans="1:9" x14ac:dyDescent="0.2">
      <c r="A6" s="6" t="s">
        <v>221</v>
      </c>
      <c r="B6" s="10">
        <v>0</v>
      </c>
      <c r="C6" s="10">
        <v>0</v>
      </c>
      <c r="D6" s="10">
        <v>0</v>
      </c>
      <c r="E6" s="10">
        <v>0</v>
      </c>
      <c r="F6" s="10">
        <v>0</v>
      </c>
      <c r="G6" s="10">
        <v>0</v>
      </c>
      <c r="H6" s="6">
        <f t="shared" si="0"/>
        <v>0</v>
      </c>
      <c r="I6" s="6">
        <v>150</v>
      </c>
    </row>
    <row r="7" spans="1:9" x14ac:dyDescent="0.2">
      <c r="A7" s="11" t="s">
        <v>222</v>
      </c>
      <c r="B7" s="12">
        <v>0</v>
      </c>
      <c r="C7" s="12">
        <v>0</v>
      </c>
      <c r="D7" s="12">
        <v>0</v>
      </c>
      <c r="E7" s="12">
        <v>0</v>
      </c>
      <c r="F7" s="12">
        <v>0</v>
      </c>
      <c r="G7" s="12">
        <v>0</v>
      </c>
      <c r="H7" s="11">
        <f t="shared" si="0"/>
        <v>0</v>
      </c>
      <c r="I7" s="11">
        <v>30</v>
      </c>
    </row>
    <row r="8" spans="1:9" x14ac:dyDescent="0.2">
      <c r="A8" s="6" t="s">
        <v>223</v>
      </c>
      <c r="B8" s="10">
        <v>0</v>
      </c>
      <c r="C8" s="10">
        <v>0</v>
      </c>
      <c r="D8" s="10">
        <v>0</v>
      </c>
      <c r="E8" s="10">
        <v>0</v>
      </c>
      <c r="F8" s="10">
        <v>0</v>
      </c>
      <c r="G8" s="10">
        <v>0</v>
      </c>
      <c r="H8" s="6">
        <f t="shared" si="0"/>
        <v>0</v>
      </c>
      <c r="I8" s="6">
        <v>100</v>
      </c>
    </row>
    <row r="9" spans="1:9" x14ac:dyDescent="0.2">
      <c r="A9" s="11" t="s">
        <v>224</v>
      </c>
      <c r="B9" s="12">
        <v>0</v>
      </c>
      <c r="C9" s="12">
        <v>0</v>
      </c>
      <c r="D9" s="12">
        <v>0</v>
      </c>
      <c r="E9" s="12">
        <v>0</v>
      </c>
      <c r="F9" s="12">
        <v>0</v>
      </c>
      <c r="G9" s="12">
        <v>0</v>
      </c>
      <c r="H9" s="11">
        <f t="shared" si="0"/>
        <v>0</v>
      </c>
      <c r="I9" s="11">
        <v>10</v>
      </c>
    </row>
    <row r="10" spans="1:9" x14ac:dyDescent="0.2">
      <c r="A10" s="6" t="s">
        <v>225</v>
      </c>
      <c r="B10" s="10">
        <v>0</v>
      </c>
      <c r="C10" s="10">
        <v>0</v>
      </c>
      <c r="D10" s="10">
        <v>0</v>
      </c>
      <c r="E10" s="10">
        <v>0</v>
      </c>
      <c r="F10" s="10">
        <v>0</v>
      </c>
      <c r="G10" s="10">
        <v>0</v>
      </c>
      <c r="H10" s="6">
        <f t="shared" si="0"/>
        <v>0</v>
      </c>
      <c r="I10" s="6">
        <v>20</v>
      </c>
    </row>
    <row r="11" spans="1:9" x14ac:dyDescent="0.2">
      <c r="A11" s="11" t="s">
        <v>226</v>
      </c>
      <c r="B11" s="12">
        <v>0</v>
      </c>
      <c r="C11" s="12">
        <v>0</v>
      </c>
      <c r="D11" s="12">
        <v>0</v>
      </c>
      <c r="E11" s="12">
        <v>0</v>
      </c>
      <c r="F11" s="12">
        <v>0</v>
      </c>
      <c r="G11" s="12">
        <v>0</v>
      </c>
      <c r="H11" s="11">
        <f t="shared" si="0"/>
        <v>0</v>
      </c>
      <c r="I11" s="11">
        <v>17</v>
      </c>
    </row>
    <row r="12" spans="1:9" x14ac:dyDescent="0.2">
      <c r="A12" s="6" t="s">
        <v>227</v>
      </c>
      <c r="B12" s="10">
        <v>0</v>
      </c>
      <c r="C12" s="10">
        <v>0</v>
      </c>
      <c r="D12" s="10">
        <v>0</v>
      </c>
      <c r="E12" s="10">
        <v>0</v>
      </c>
      <c r="F12" s="10">
        <v>0</v>
      </c>
      <c r="G12" s="10">
        <v>0</v>
      </c>
      <c r="H12" s="6">
        <f t="shared" si="0"/>
        <v>0</v>
      </c>
      <c r="I12" s="6">
        <v>20</v>
      </c>
    </row>
    <row r="13" spans="1:9" x14ac:dyDescent="0.2">
      <c r="A13" s="11" t="s">
        <v>228</v>
      </c>
      <c r="B13" s="12">
        <v>0</v>
      </c>
      <c r="C13" s="12">
        <v>0</v>
      </c>
      <c r="D13" s="12">
        <v>0</v>
      </c>
      <c r="E13" s="12">
        <v>0</v>
      </c>
      <c r="F13" s="12">
        <v>0</v>
      </c>
      <c r="G13" s="12">
        <v>0</v>
      </c>
      <c r="H13" s="11">
        <f t="shared" si="0"/>
        <v>0</v>
      </c>
      <c r="I13" s="11">
        <v>6</v>
      </c>
    </row>
    <row r="15" spans="1:9" ht="26.75" customHeight="1" x14ac:dyDescent="0.2">
      <c r="A15" s="41" t="s">
        <v>229</v>
      </c>
      <c r="B15" s="41"/>
      <c r="C15" s="41"/>
      <c r="D15" s="41"/>
      <c r="E15" s="41"/>
      <c r="F15" s="41"/>
      <c r="G15" s="41"/>
      <c r="H15" s="41"/>
      <c r="I15" s="41"/>
    </row>
  </sheetData>
  <mergeCells count="2">
    <mergeCell ref="A1:I1"/>
    <mergeCell ref="A15:I15"/>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
  <sheetViews>
    <sheetView showGridLines="0" zoomScaleNormal="100" workbookViewId="0">
      <selection sqref="A1:G1"/>
    </sheetView>
  </sheetViews>
  <sheetFormatPr baseColWidth="10" defaultColWidth="8.6640625" defaultRowHeight="15" x14ac:dyDescent="0.2"/>
  <cols>
    <col min="1" max="1" width="22" customWidth="1"/>
    <col min="2" max="3" width="16" customWidth="1"/>
    <col min="4" max="4" width="42" customWidth="1"/>
    <col min="5" max="5" width="34" customWidth="1"/>
    <col min="6" max="7" width="26" customWidth="1"/>
  </cols>
  <sheetData>
    <row r="1" spans="1:7" ht="25.5" customHeight="1" x14ac:dyDescent="0.2">
      <c r="A1" s="35" t="s">
        <v>230</v>
      </c>
      <c r="B1" s="35"/>
      <c r="C1" s="35"/>
      <c r="D1" s="35"/>
      <c r="E1" s="35"/>
      <c r="F1" s="35"/>
      <c r="G1" s="35"/>
    </row>
    <row r="3" spans="1:7" x14ac:dyDescent="0.2">
      <c r="A3" s="1" t="s">
        <v>154</v>
      </c>
      <c r="B3" s="1" t="s">
        <v>231</v>
      </c>
      <c r="C3" s="1" t="s">
        <v>232</v>
      </c>
      <c r="D3" s="1" t="s">
        <v>233</v>
      </c>
      <c r="E3" s="1" t="s">
        <v>234</v>
      </c>
      <c r="F3" s="1" t="s">
        <v>235</v>
      </c>
      <c r="G3" s="1" t="s">
        <v>236</v>
      </c>
    </row>
    <row r="4" spans="1:7" ht="48" customHeight="1" x14ac:dyDescent="0.2">
      <c r="A4" s="4" t="s">
        <v>237</v>
      </c>
      <c r="B4" s="4" t="s">
        <v>238</v>
      </c>
      <c r="C4" s="4" t="s">
        <v>239</v>
      </c>
      <c r="D4" s="4" t="s">
        <v>240</v>
      </c>
      <c r="E4" s="4" t="s">
        <v>241</v>
      </c>
      <c r="F4" s="4" t="s">
        <v>242</v>
      </c>
      <c r="G4" s="4" t="s">
        <v>243</v>
      </c>
    </row>
    <row r="5" spans="1:7" ht="48" customHeight="1" x14ac:dyDescent="0.2">
      <c r="A5" s="13" t="s">
        <v>244</v>
      </c>
      <c r="B5" s="13" t="s">
        <v>245</v>
      </c>
      <c r="C5" s="13" t="s">
        <v>246</v>
      </c>
      <c r="D5" s="13" t="s">
        <v>247</v>
      </c>
      <c r="E5" s="13" t="s">
        <v>248</v>
      </c>
      <c r="F5" s="13" t="s">
        <v>249</v>
      </c>
      <c r="G5" s="13" t="s">
        <v>250</v>
      </c>
    </row>
    <row r="6" spans="1:7" ht="48" customHeight="1" x14ac:dyDescent="0.2">
      <c r="A6" s="4" t="s">
        <v>251</v>
      </c>
      <c r="B6" s="4" t="s">
        <v>252</v>
      </c>
      <c r="C6" s="4" t="s">
        <v>253</v>
      </c>
      <c r="D6" s="4" t="s">
        <v>254</v>
      </c>
      <c r="E6" s="4" t="s">
        <v>255</v>
      </c>
      <c r="F6" s="4" t="s">
        <v>256</v>
      </c>
      <c r="G6" s="4" t="s">
        <v>16</v>
      </c>
    </row>
    <row r="7" spans="1:7" ht="48" customHeight="1" x14ac:dyDescent="0.2">
      <c r="A7" s="13" t="s">
        <v>257</v>
      </c>
      <c r="B7" s="13" t="s">
        <v>245</v>
      </c>
      <c r="C7" s="13" t="s">
        <v>258</v>
      </c>
      <c r="D7" s="13" t="s">
        <v>259</v>
      </c>
      <c r="E7" s="13" t="s">
        <v>260</v>
      </c>
      <c r="F7" s="13" t="s">
        <v>261</v>
      </c>
      <c r="G7" s="13" t="s">
        <v>262</v>
      </c>
    </row>
    <row r="8" spans="1:7" ht="48" customHeight="1" x14ac:dyDescent="0.2">
      <c r="A8" s="4" t="s">
        <v>263</v>
      </c>
      <c r="B8" s="4" t="s">
        <v>245</v>
      </c>
      <c r="C8" s="4" t="s">
        <v>264</v>
      </c>
      <c r="D8" s="4" t="s">
        <v>265</v>
      </c>
      <c r="E8" s="4" t="s">
        <v>266</v>
      </c>
      <c r="F8" s="4" t="s">
        <v>267</v>
      </c>
      <c r="G8" s="4" t="s">
        <v>16</v>
      </c>
    </row>
    <row r="9" spans="1:7" ht="48" customHeight="1" x14ac:dyDescent="0.2">
      <c r="A9" s="13" t="s">
        <v>268</v>
      </c>
      <c r="B9" s="13" t="s">
        <v>269</v>
      </c>
      <c r="C9" s="13" t="s">
        <v>270</v>
      </c>
      <c r="D9" s="13" t="s">
        <v>271</v>
      </c>
      <c r="E9" s="13" t="s">
        <v>272</v>
      </c>
      <c r="F9" s="13" t="s">
        <v>273</v>
      </c>
      <c r="G9" s="13" t="s">
        <v>16</v>
      </c>
    </row>
    <row r="10" spans="1:7" ht="48" customHeight="1" x14ac:dyDescent="0.2">
      <c r="A10" s="4" t="s">
        <v>274</v>
      </c>
      <c r="B10" s="4" t="s">
        <v>275</v>
      </c>
      <c r="C10" s="4" t="s">
        <v>276</v>
      </c>
      <c r="D10" s="4" t="s">
        <v>277</v>
      </c>
      <c r="E10" s="4" t="s">
        <v>278</v>
      </c>
      <c r="F10" s="4" t="s">
        <v>279</v>
      </c>
      <c r="G10" s="4" t="s">
        <v>16</v>
      </c>
    </row>
  </sheetData>
  <mergeCells count="1">
    <mergeCell ref="A1:G1"/>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9436A-E997-3C40-A694-C3E3FD008A15}">
  <dimension ref="A1:F14"/>
  <sheetViews>
    <sheetView workbookViewId="0">
      <selection activeCell="E20" sqref="E20"/>
    </sheetView>
  </sheetViews>
  <sheetFormatPr baseColWidth="10" defaultColWidth="8.6640625" defaultRowHeight="15" x14ac:dyDescent="0.2"/>
  <cols>
    <col min="1" max="1" width="5" customWidth="1"/>
    <col min="2" max="2" width="40" customWidth="1"/>
    <col min="3" max="3" width="20" customWidth="1"/>
    <col min="4" max="4" width="46" customWidth="1"/>
    <col min="5" max="6" width="14" customWidth="1"/>
  </cols>
  <sheetData>
    <row r="1" spans="1:6" ht="18" x14ac:dyDescent="0.2">
      <c r="A1" s="42" t="s">
        <v>378</v>
      </c>
      <c r="B1" s="42"/>
      <c r="C1" s="42"/>
      <c r="D1" s="42"/>
      <c r="E1" s="42"/>
      <c r="F1" s="42"/>
    </row>
    <row r="2" spans="1:6" ht="15" customHeight="1" x14ac:dyDescent="0.2">
      <c r="A2" s="33" t="s">
        <v>379</v>
      </c>
      <c r="B2" s="33"/>
      <c r="C2" s="33"/>
      <c r="D2" s="33"/>
      <c r="E2" s="33"/>
      <c r="F2" s="33"/>
    </row>
    <row r="4" spans="1:6" ht="16" x14ac:dyDescent="0.2">
      <c r="A4" s="15" t="s">
        <v>380</v>
      </c>
      <c r="B4" s="15" t="s">
        <v>381</v>
      </c>
      <c r="C4" s="15" t="s">
        <v>382</v>
      </c>
      <c r="D4" s="15" t="s">
        <v>383</v>
      </c>
      <c r="E4" s="15" t="s">
        <v>384</v>
      </c>
      <c r="F4" s="15" t="s">
        <v>159</v>
      </c>
    </row>
    <row r="5" spans="1:6" ht="32" x14ac:dyDescent="0.2">
      <c r="A5" s="6">
        <v>1</v>
      </c>
      <c r="B5" s="4" t="s">
        <v>385</v>
      </c>
      <c r="C5" s="4" t="s">
        <v>386</v>
      </c>
      <c r="D5" s="4" t="s">
        <v>387</v>
      </c>
      <c r="E5" s="6" t="s">
        <v>211</v>
      </c>
      <c r="F5" s="6" t="s">
        <v>388</v>
      </c>
    </row>
    <row r="6" spans="1:6" ht="32" x14ac:dyDescent="0.2">
      <c r="A6" s="16">
        <v>2</v>
      </c>
      <c r="B6" s="17" t="s">
        <v>389</v>
      </c>
      <c r="C6" s="17" t="s">
        <v>390</v>
      </c>
      <c r="D6" s="17" t="s">
        <v>391</v>
      </c>
      <c r="E6" s="16" t="s">
        <v>212</v>
      </c>
      <c r="F6" s="16" t="s">
        <v>388</v>
      </c>
    </row>
    <row r="7" spans="1:6" ht="32" x14ac:dyDescent="0.2">
      <c r="A7" s="6">
        <v>3</v>
      </c>
      <c r="B7" s="4" t="s">
        <v>392</v>
      </c>
      <c r="C7" s="4" t="s">
        <v>390</v>
      </c>
      <c r="D7" s="4" t="s">
        <v>393</v>
      </c>
      <c r="E7" s="6" t="s">
        <v>213</v>
      </c>
      <c r="F7" s="6" t="s">
        <v>388</v>
      </c>
    </row>
    <row r="8" spans="1:6" ht="32" x14ac:dyDescent="0.2">
      <c r="A8" s="16">
        <v>4</v>
      </c>
      <c r="B8" s="17" t="s">
        <v>394</v>
      </c>
      <c r="C8" s="17" t="s">
        <v>386</v>
      </c>
      <c r="D8" s="17" t="s">
        <v>395</v>
      </c>
      <c r="E8" s="16" t="s">
        <v>213</v>
      </c>
      <c r="F8" s="16" t="s">
        <v>388</v>
      </c>
    </row>
    <row r="9" spans="1:6" ht="32" x14ac:dyDescent="0.2">
      <c r="A9" s="6">
        <v>5</v>
      </c>
      <c r="B9" s="4" t="s">
        <v>396</v>
      </c>
      <c r="C9" s="4" t="s">
        <v>390</v>
      </c>
      <c r="D9" s="4" t="s">
        <v>397</v>
      </c>
      <c r="E9" s="6" t="s">
        <v>214</v>
      </c>
      <c r="F9" s="6" t="s">
        <v>388</v>
      </c>
    </row>
    <row r="10" spans="1:6" ht="32" x14ac:dyDescent="0.2">
      <c r="A10" s="16">
        <v>6</v>
      </c>
      <c r="B10" s="17" t="s">
        <v>398</v>
      </c>
      <c r="C10" s="17" t="s">
        <v>399</v>
      </c>
      <c r="D10" s="17" t="s">
        <v>400</v>
      </c>
      <c r="E10" s="16" t="s">
        <v>215</v>
      </c>
      <c r="F10" s="16" t="s">
        <v>388</v>
      </c>
    </row>
    <row r="11" spans="1:6" ht="32" x14ac:dyDescent="0.2">
      <c r="A11" s="6">
        <v>7</v>
      </c>
      <c r="B11" s="4" t="s">
        <v>401</v>
      </c>
      <c r="C11" s="4" t="s">
        <v>386</v>
      </c>
      <c r="D11" s="4" t="s">
        <v>402</v>
      </c>
      <c r="E11" s="6" t="s">
        <v>216</v>
      </c>
      <c r="F11" s="6" t="s">
        <v>388</v>
      </c>
    </row>
    <row r="12" spans="1:6" ht="32" x14ac:dyDescent="0.2">
      <c r="A12" s="16">
        <v>8</v>
      </c>
      <c r="B12" s="17" t="s">
        <v>403</v>
      </c>
      <c r="C12" s="17" t="s">
        <v>386</v>
      </c>
      <c r="D12" s="17" t="s">
        <v>404</v>
      </c>
      <c r="E12" s="16" t="s">
        <v>216</v>
      </c>
      <c r="F12" s="16" t="s">
        <v>388</v>
      </c>
    </row>
    <row r="13" spans="1:6" ht="32" x14ac:dyDescent="0.2">
      <c r="A13" s="6">
        <v>9</v>
      </c>
      <c r="B13" s="4" t="s">
        <v>405</v>
      </c>
      <c r="C13" s="4" t="s">
        <v>390</v>
      </c>
      <c r="D13" s="4" t="s">
        <v>406</v>
      </c>
      <c r="E13" s="6" t="s">
        <v>407</v>
      </c>
      <c r="F13" s="6" t="s">
        <v>388</v>
      </c>
    </row>
    <row r="14" spans="1:6" ht="32" x14ac:dyDescent="0.2">
      <c r="A14" s="16">
        <v>10</v>
      </c>
      <c r="B14" s="17" t="s">
        <v>408</v>
      </c>
      <c r="C14" s="17" t="s">
        <v>399</v>
      </c>
      <c r="D14" s="17" t="s">
        <v>409</v>
      </c>
      <c r="E14" s="16" t="s">
        <v>410</v>
      </c>
      <c r="F14" s="16" t="s">
        <v>388</v>
      </c>
    </row>
  </sheetData>
  <mergeCells count="2">
    <mergeCell ref="A1:F1"/>
    <mergeCell ref="A2:F2"/>
  </mergeCells>
  <dataValidations count="1">
    <dataValidation type="list" allowBlank="1" sqref="F5:F14" xr:uid="{6C3535FD-B498-D849-A861-F6515FFD4150}">
      <formula1>"Not started,Drafted,Published,Skipped"</formula1>
      <formula2>0</formula2>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40"/>
  <sheetViews>
    <sheetView showGridLines="0" zoomScaleNormal="100" workbookViewId="0">
      <selection activeCell="B5" sqref="B5"/>
    </sheetView>
  </sheetViews>
  <sheetFormatPr baseColWidth="10" defaultColWidth="8.6640625" defaultRowHeight="15" x14ac:dyDescent="0.2"/>
  <cols>
    <col min="1" max="1" width="34" customWidth="1"/>
    <col min="2" max="2" width="90" customWidth="1"/>
    <col min="3" max="3" width="14" customWidth="1"/>
  </cols>
  <sheetData>
    <row r="1" spans="1:3" ht="25.5" customHeight="1" x14ac:dyDescent="0.2">
      <c r="A1" s="35" t="s">
        <v>280</v>
      </c>
      <c r="B1" s="35"/>
      <c r="C1" s="35"/>
    </row>
    <row r="2" spans="1:3" ht="18" customHeight="1" x14ac:dyDescent="0.2">
      <c r="A2" s="43" t="s">
        <v>281</v>
      </c>
      <c r="B2" s="43"/>
      <c r="C2" s="43"/>
    </row>
    <row r="4" spans="1:3" x14ac:dyDescent="0.2">
      <c r="A4" s="1" t="s">
        <v>282</v>
      </c>
      <c r="B4" s="1" t="s">
        <v>283</v>
      </c>
      <c r="C4" s="1" t="s">
        <v>284</v>
      </c>
    </row>
    <row r="5" spans="1:3" ht="109.5" customHeight="1" x14ac:dyDescent="0.2">
      <c r="A5" s="4" t="s">
        <v>285</v>
      </c>
      <c r="B5" s="4" t="s">
        <v>286</v>
      </c>
      <c r="C5" s="6"/>
    </row>
    <row r="6" spans="1:3" ht="109.5" customHeight="1" x14ac:dyDescent="0.2">
      <c r="A6" s="4" t="s">
        <v>287</v>
      </c>
      <c r="B6" s="4" t="s">
        <v>288</v>
      </c>
      <c r="C6" s="6"/>
    </row>
    <row r="7" spans="1:3" ht="109.5" customHeight="1" x14ac:dyDescent="0.2">
      <c r="A7" s="4" t="s">
        <v>289</v>
      </c>
      <c r="B7" s="4" t="s">
        <v>290</v>
      </c>
      <c r="C7" s="6"/>
    </row>
    <row r="8" spans="1:3" ht="109.5" customHeight="1" x14ac:dyDescent="0.2">
      <c r="A8" s="4" t="s">
        <v>291</v>
      </c>
      <c r="B8" s="4" t="s">
        <v>292</v>
      </c>
      <c r="C8" s="6"/>
    </row>
    <row r="10" spans="1:3" x14ac:dyDescent="0.2">
      <c r="A10" s="30" t="s">
        <v>863</v>
      </c>
    </row>
    <row r="12" spans="1:3" x14ac:dyDescent="0.2">
      <c r="A12" s="31" t="s">
        <v>848</v>
      </c>
    </row>
    <row r="14" spans="1:3" ht="16" x14ac:dyDescent="0.25">
      <c r="A14" s="31" t="s">
        <v>849</v>
      </c>
    </row>
    <row r="16" spans="1:3" x14ac:dyDescent="0.2">
      <c r="A16" s="31" t="s">
        <v>850</v>
      </c>
    </row>
    <row r="18" spans="1:1" x14ac:dyDescent="0.2">
      <c r="A18" s="30" t="s">
        <v>851</v>
      </c>
    </row>
    <row r="20" spans="1:1" x14ac:dyDescent="0.2">
      <c r="A20" s="31" t="s">
        <v>852</v>
      </c>
    </row>
    <row r="22" spans="1:1" x14ac:dyDescent="0.2">
      <c r="A22" s="31" t="s">
        <v>853</v>
      </c>
    </row>
    <row r="24" spans="1:1" x14ac:dyDescent="0.2">
      <c r="A24" s="31" t="s">
        <v>854</v>
      </c>
    </row>
    <row r="26" spans="1:1" x14ac:dyDescent="0.2">
      <c r="A26" s="30" t="s">
        <v>855</v>
      </c>
    </row>
    <row r="28" spans="1:1" x14ac:dyDescent="0.2">
      <c r="A28" s="31" t="s">
        <v>856</v>
      </c>
    </row>
    <row r="30" spans="1:1" x14ac:dyDescent="0.2">
      <c r="A30" s="31" t="s">
        <v>857</v>
      </c>
    </row>
    <row r="32" spans="1:1" x14ac:dyDescent="0.2">
      <c r="A32" s="31" t="s">
        <v>858</v>
      </c>
    </row>
    <row r="34" spans="1:1" x14ac:dyDescent="0.2">
      <c r="A34" s="30" t="s">
        <v>859</v>
      </c>
    </row>
    <row r="36" spans="1:1" x14ac:dyDescent="0.2">
      <c r="A36" s="30" t="s">
        <v>860</v>
      </c>
    </row>
    <row r="38" spans="1:1" x14ac:dyDescent="0.2">
      <c r="A38" s="30" t="s">
        <v>861</v>
      </c>
    </row>
    <row r="40" spans="1:1" x14ac:dyDescent="0.2">
      <c r="A40" s="30" t="s">
        <v>862</v>
      </c>
    </row>
  </sheetData>
  <mergeCells count="2">
    <mergeCell ref="A1:C1"/>
    <mergeCell ref="A2:C2"/>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B1F60-9988-B74B-B926-965FAE72EE02}">
  <dimension ref="A1:I30"/>
  <sheetViews>
    <sheetView workbookViewId="0">
      <selection activeCell="F6" sqref="F6"/>
    </sheetView>
  </sheetViews>
  <sheetFormatPr baseColWidth="10" defaultColWidth="8.6640625" defaultRowHeight="15" x14ac:dyDescent="0.2"/>
  <cols>
    <col min="1" max="1" width="4" customWidth="1"/>
    <col min="2" max="2" width="24" customWidth="1"/>
    <col min="3" max="3" width="12" customWidth="1"/>
    <col min="4" max="4" width="46" customWidth="1"/>
    <col min="5" max="5" width="26" customWidth="1"/>
    <col min="6" max="6" width="18" customWidth="1"/>
    <col min="7" max="7" width="14" customWidth="1"/>
    <col min="8" max="8" width="12" customWidth="1"/>
    <col min="9" max="9" width="14" customWidth="1"/>
  </cols>
  <sheetData>
    <row r="1" spans="1:9" ht="18" x14ac:dyDescent="0.2">
      <c r="A1" s="42" t="s">
        <v>670</v>
      </c>
      <c r="B1" s="42"/>
      <c r="C1" s="42"/>
      <c r="D1" s="42"/>
      <c r="E1" s="42"/>
      <c r="F1" s="42"/>
      <c r="G1" s="42"/>
      <c r="H1" s="42"/>
    </row>
    <row r="2" spans="1:9" ht="15" customHeight="1" x14ac:dyDescent="0.2">
      <c r="A2" s="33" t="s">
        <v>671</v>
      </c>
      <c r="B2" s="33"/>
      <c r="C2" s="33"/>
      <c r="D2" s="33"/>
      <c r="E2" s="33"/>
      <c r="F2" s="33"/>
      <c r="G2" s="33"/>
      <c r="H2" s="33"/>
    </row>
    <row r="4" spans="1:9" ht="16" x14ac:dyDescent="0.2">
      <c r="A4" s="15" t="s">
        <v>380</v>
      </c>
      <c r="B4" s="15" t="s">
        <v>382</v>
      </c>
      <c r="C4" s="15" t="s">
        <v>415</v>
      </c>
      <c r="D4" s="15" t="s">
        <v>381</v>
      </c>
      <c r="E4" s="15" t="s">
        <v>672</v>
      </c>
      <c r="F4" s="15" t="s">
        <v>673</v>
      </c>
      <c r="G4" s="15" t="s">
        <v>674</v>
      </c>
      <c r="H4" s="15" t="s">
        <v>675</v>
      </c>
      <c r="I4" s="15" t="s">
        <v>159</v>
      </c>
    </row>
    <row r="5" spans="1:9" ht="16" x14ac:dyDescent="0.2">
      <c r="A5" s="21">
        <v>1</v>
      </c>
      <c r="B5" s="21" t="s">
        <v>676</v>
      </c>
      <c r="C5" s="21" t="s">
        <v>677</v>
      </c>
      <c r="D5" s="22" t="s">
        <v>678</v>
      </c>
      <c r="E5" s="22" t="s">
        <v>679</v>
      </c>
      <c r="F5" s="21" t="s">
        <v>680</v>
      </c>
      <c r="G5" s="21" t="s">
        <v>677</v>
      </c>
      <c r="H5" s="21" t="s">
        <v>681</v>
      </c>
      <c r="I5" s="21" t="s">
        <v>388</v>
      </c>
    </row>
    <row r="6" spans="1:9" ht="16" x14ac:dyDescent="0.2">
      <c r="A6" s="23">
        <v>2</v>
      </c>
      <c r="B6" s="23" t="s">
        <v>676</v>
      </c>
      <c r="C6" s="23" t="s">
        <v>682</v>
      </c>
      <c r="D6" s="17" t="s">
        <v>385</v>
      </c>
      <c r="E6" s="17" t="s">
        <v>683</v>
      </c>
      <c r="F6" s="23" t="s">
        <v>680</v>
      </c>
      <c r="G6" s="23" t="s">
        <v>684</v>
      </c>
      <c r="H6" s="23" t="s">
        <v>685</v>
      </c>
      <c r="I6" s="23" t="s">
        <v>388</v>
      </c>
    </row>
    <row r="7" spans="1:9" ht="16" x14ac:dyDescent="0.2">
      <c r="A7" s="24">
        <v>3</v>
      </c>
      <c r="B7" s="24" t="s">
        <v>676</v>
      </c>
      <c r="C7" s="24" t="s">
        <v>682</v>
      </c>
      <c r="D7" s="4" t="s">
        <v>686</v>
      </c>
      <c r="E7" s="4" t="s">
        <v>687</v>
      </c>
      <c r="F7" s="24" t="s">
        <v>680</v>
      </c>
      <c r="G7" s="24" t="s">
        <v>684</v>
      </c>
      <c r="H7" s="24" t="s">
        <v>688</v>
      </c>
      <c r="I7" s="24" t="s">
        <v>689</v>
      </c>
    </row>
    <row r="8" spans="1:9" ht="32" x14ac:dyDescent="0.2">
      <c r="A8" s="23">
        <v>4</v>
      </c>
      <c r="B8" s="23" t="s">
        <v>676</v>
      </c>
      <c r="C8" s="23" t="s">
        <v>682</v>
      </c>
      <c r="D8" s="17" t="s">
        <v>394</v>
      </c>
      <c r="E8" s="17" t="s">
        <v>690</v>
      </c>
      <c r="F8" s="23" t="s">
        <v>680</v>
      </c>
      <c r="G8" s="23" t="s">
        <v>691</v>
      </c>
      <c r="H8" s="23" t="s">
        <v>688</v>
      </c>
      <c r="I8" s="23" t="s">
        <v>689</v>
      </c>
    </row>
    <row r="9" spans="1:9" ht="32" x14ac:dyDescent="0.2">
      <c r="A9" s="24">
        <v>5</v>
      </c>
      <c r="B9" s="24" t="s">
        <v>676</v>
      </c>
      <c r="C9" s="24" t="s">
        <v>682</v>
      </c>
      <c r="D9" s="4" t="s">
        <v>692</v>
      </c>
      <c r="E9" s="4" t="s">
        <v>693</v>
      </c>
      <c r="F9" s="24" t="s">
        <v>694</v>
      </c>
      <c r="G9" s="24" t="s">
        <v>695</v>
      </c>
      <c r="H9" s="24" t="s">
        <v>688</v>
      </c>
      <c r="I9" s="24" t="s">
        <v>689</v>
      </c>
    </row>
    <row r="10" spans="1:9" ht="32" x14ac:dyDescent="0.2">
      <c r="A10" s="21">
        <v>6</v>
      </c>
      <c r="B10" s="21" t="s">
        <v>696</v>
      </c>
      <c r="C10" s="21" t="s">
        <v>677</v>
      </c>
      <c r="D10" s="22" t="s">
        <v>697</v>
      </c>
      <c r="E10" s="22" t="s">
        <v>698</v>
      </c>
      <c r="F10" s="21" t="s">
        <v>680</v>
      </c>
      <c r="G10" s="21" t="s">
        <v>677</v>
      </c>
      <c r="H10" s="21" t="s">
        <v>699</v>
      </c>
      <c r="I10" s="21" t="s">
        <v>388</v>
      </c>
    </row>
    <row r="11" spans="1:9" ht="32" x14ac:dyDescent="0.2">
      <c r="A11" s="24">
        <v>7</v>
      </c>
      <c r="B11" s="24" t="s">
        <v>696</v>
      </c>
      <c r="C11" s="24" t="s">
        <v>682</v>
      </c>
      <c r="D11" s="4" t="s">
        <v>392</v>
      </c>
      <c r="E11" s="4" t="s">
        <v>700</v>
      </c>
      <c r="F11" s="24" t="s">
        <v>701</v>
      </c>
      <c r="G11" s="24" t="s">
        <v>684</v>
      </c>
      <c r="H11" s="24" t="s">
        <v>688</v>
      </c>
      <c r="I11" s="24" t="s">
        <v>689</v>
      </c>
    </row>
    <row r="12" spans="1:9" ht="32" x14ac:dyDescent="0.2">
      <c r="A12" s="23">
        <v>8</v>
      </c>
      <c r="B12" s="23" t="s">
        <v>696</v>
      </c>
      <c r="C12" s="23" t="s">
        <v>682</v>
      </c>
      <c r="D12" s="17" t="s">
        <v>702</v>
      </c>
      <c r="E12" s="17" t="s">
        <v>698</v>
      </c>
      <c r="F12" s="23" t="s">
        <v>680</v>
      </c>
      <c r="G12" s="23" t="s">
        <v>695</v>
      </c>
      <c r="H12" s="23" t="s">
        <v>688</v>
      </c>
      <c r="I12" s="23" t="s">
        <v>689</v>
      </c>
    </row>
    <row r="13" spans="1:9" ht="32" x14ac:dyDescent="0.2">
      <c r="A13" s="24">
        <v>9</v>
      </c>
      <c r="B13" s="24" t="s">
        <v>696</v>
      </c>
      <c r="C13" s="24" t="s">
        <v>682</v>
      </c>
      <c r="D13" s="4" t="s">
        <v>703</v>
      </c>
      <c r="E13" s="4" t="s">
        <v>704</v>
      </c>
      <c r="F13" s="24" t="s">
        <v>680</v>
      </c>
      <c r="G13" s="24" t="s">
        <v>695</v>
      </c>
      <c r="H13" s="24" t="s">
        <v>688</v>
      </c>
      <c r="I13" s="24" t="s">
        <v>689</v>
      </c>
    </row>
    <row r="14" spans="1:9" ht="32" x14ac:dyDescent="0.2">
      <c r="A14" s="23">
        <v>10</v>
      </c>
      <c r="B14" s="23" t="s">
        <v>696</v>
      </c>
      <c r="C14" s="23" t="s">
        <v>682</v>
      </c>
      <c r="D14" s="17" t="s">
        <v>405</v>
      </c>
      <c r="E14" s="17" t="s">
        <v>705</v>
      </c>
      <c r="F14" s="23" t="s">
        <v>706</v>
      </c>
      <c r="G14" s="23" t="s">
        <v>707</v>
      </c>
      <c r="H14" s="23" t="s">
        <v>708</v>
      </c>
      <c r="I14" s="23" t="s">
        <v>689</v>
      </c>
    </row>
    <row r="15" spans="1:9" ht="32" x14ac:dyDescent="0.2">
      <c r="A15" s="21">
        <v>11</v>
      </c>
      <c r="B15" s="21" t="s">
        <v>709</v>
      </c>
      <c r="C15" s="21" t="s">
        <v>677</v>
      </c>
      <c r="D15" s="22" t="s">
        <v>710</v>
      </c>
      <c r="E15" s="22" t="s">
        <v>711</v>
      </c>
      <c r="F15" s="21" t="s">
        <v>680</v>
      </c>
      <c r="G15" s="21" t="s">
        <v>677</v>
      </c>
      <c r="H15" s="21" t="s">
        <v>712</v>
      </c>
      <c r="I15" s="21" t="s">
        <v>388</v>
      </c>
    </row>
    <row r="16" spans="1:9" ht="32" x14ac:dyDescent="0.2">
      <c r="A16" s="23">
        <v>12</v>
      </c>
      <c r="B16" s="23" t="s">
        <v>709</v>
      </c>
      <c r="C16" s="23" t="s">
        <v>682</v>
      </c>
      <c r="D16" s="17" t="s">
        <v>398</v>
      </c>
      <c r="E16" s="17" t="s">
        <v>713</v>
      </c>
      <c r="F16" s="23" t="s">
        <v>680</v>
      </c>
      <c r="G16" s="23" t="s">
        <v>684</v>
      </c>
      <c r="H16" s="23" t="s">
        <v>688</v>
      </c>
      <c r="I16" s="23" t="s">
        <v>689</v>
      </c>
    </row>
    <row r="17" spans="1:9" ht="32" x14ac:dyDescent="0.2">
      <c r="A17" s="24">
        <v>13</v>
      </c>
      <c r="B17" s="24" t="s">
        <v>709</v>
      </c>
      <c r="C17" s="24" t="s">
        <v>682</v>
      </c>
      <c r="D17" s="4" t="s">
        <v>401</v>
      </c>
      <c r="E17" s="4" t="s">
        <v>711</v>
      </c>
      <c r="F17" s="24" t="s">
        <v>680</v>
      </c>
      <c r="G17" s="24" t="s">
        <v>695</v>
      </c>
      <c r="H17" s="24" t="s">
        <v>688</v>
      </c>
      <c r="I17" s="24" t="s">
        <v>689</v>
      </c>
    </row>
    <row r="18" spans="1:9" ht="32" x14ac:dyDescent="0.2">
      <c r="A18" s="23">
        <v>14</v>
      </c>
      <c r="B18" s="23" t="s">
        <v>709</v>
      </c>
      <c r="C18" s="23" t="s">
        <v>682</v>
      </c>
      <c r="D18" s="17" t="s">
        <v>714</v>
      </c>
      <c r="E18" s="17" t="s">
        <v>715</v>
      </c>
      <c r="F18" s="23" t="s">
        <v>706</v>
      </c>
      <c r="G18" s="23" t="s">
        <v>716</v>
      </c>
      <c r="H18" s="23" t="s">
        <v>708</v>
      </c>
      <c r="I18" s="23" t="s">
        <v>689</v>
      </c>
    </row>
    <row r="19" spans="1:9" ht="32" x14ac:dyDescent="0.2">
      <c r="A19" s="24">
        <v>15</v>
      </c>
      <c r="B19" s="24" t="s">
        <v>709</v>
      </c>
      <c r="C19" s="24" t="s">
        <v>682</v>
      </c>
      <c r="D19" s="4" t="s">
        <v>717</v>
      </c>
      <c r="E19" s="4" t="s">
        <v>718</v>
      </c>
      <c r="F19" s="24" t="s">
        <v>719</v>
      </c>
      <c r="G19" s="24" t="s">
        <v>716</v>
      </c>
      <c r="H19" s="24" t="s">
        <v>708</v>
      </c>
      <c r="I19" s="24" t="s">
        <v>689</v>
      </c>
    </row>
    <row r="20" spans="1:9" ht="32" x14ac:dyDescent="0.2">
      <c r="A20" s="17">
        <v>16</v>
      </c>
      <c r="B20" s="17" t="s">
        <v>676</v>
      </c>
      <c r="C20" s="17" t="s">
        <v>682</v>
      </c>
      <c r="D20" s="17" t="s">
        <v>720</v>
      </c>
      <c r="E20" s="17" t="s">
        <v>721</v>
      </c>
      <c r="F20" s="17" t="s">
        <v>722</v>
      </c>
      <c r="G20" s="17" t="s">
        <v>691</v>
      </c>
      <c r="H20" s="17" t="s">
        <v>689</v>
      </c>
      <c r="I20" s="17" t="s">
        <v>388</v>
      </c>
    </row>
    <row r="21" spans="1:9" ht="48" x14ac:dyDescent="0.2">
      <c r="A21" s="25">
        <v>17</v>
      </c>
      <c r="B21" s="17" t="s">
        <v>676</v>
      </c>
      <c r="C21" s="17" t="s">
        <v>682</v>
      </c>
      <c r="D21" s="17" t="s">
        <v>723</v>
      </c>
      <c r="E21" s="17" t="s">
        <v>724</v>
      </c>
      <c r="F21" s="17" t="s">
        <v>680</v>
      </c>
      <c r="G21" s="17" t="s">
        <v>684</v>
      </c>
      <c r="H21" s="17" t="s">
        <v>689</v>
      </c>
      <c r="I21" s="17" t="s">
        <v>388</v>
      </c>
    </row>
    <row r="22" spans="1:9" ht="32" x14ac:dyDescent="0.2">
      <c r="A22" s="17">
        <v>18</v>
      </c>
      <c r="B22" s="17" t="s">
        <v>676</v>
      </c>
      <c r="C22" s="17" t="s">
        <v>682</v>
      </c>
      <c r="D22" s="17" t="s">
        <v>725</v>
      </c>
      <c r="E22" s="17" t="s">
        <v>726</v>
      </c>
      <c r="F22" s="17" t="s">
        <v>694</v>
      </c>
      <c r="G22" s="17" t="s">
        <v>695</v>
      </c>
      <c r="H22" s="17" t="s">
        <v>689</v>
      </c>
      <c r="I22" s="17" t="s">
        <v>388</v>
      </c>
    </row>
    <row r="24" spans="1:9" ht="18" customHeight="1" x14ac:dyDescent="0.2">
      <c r="A24" s="34" t="s">
        <v>727</v>
      </c>
      <c r="B24" s="34"/>
      <c r="C24" s="34"/>
      <c r="D24" s="34"/>
      <c r="E24" s="34"/>
      <c r="F24" s="34"/>
      <c r="G24" s="34"/>
      <c r="H24" s="34"/>
      <c r="I24" s="34"/>
    </row>
    <row r="25" spans="1:9" ht="32" x14ac:dyDescent="0.2">
      <c r="A25" s="26">
        <v>19</v>
      </c>
      <c r="B25" s="26" t="s">
        <v>728</v>
      </c>
      <c r="C25" s="26" t="s">
        <v>729</v>
      </c>
      <c r="D25" s="26" t="s">
        <v>730</v>
      </c>
      <c r="E25" s="26" t="s">
        <v>731</v>
      </c>
      <c r="F25" s="26" t="s">
        <v>732</v>
      </c>
      <c r="G25" s="26" t="s">
        <v>716</v>
      </c>
      <c r="H25" s="26" t="s">
        <v>689</v>
      </c>
      <c r="I25" s="26" t="s">
        <v>388</v>
      </c>
    </row>
    <row r="26" spans="1:9" ht="32" x14ac:dyDescent="0.2">
      <c r="A26" s="26">
        <v>20</v>
      </c>
      <c r="B26" s="26" t="s">
        <v>728</v>
      </c>
      <c r="C26" s="26" t="s">
        <v>729</v>
      </c>
      <c r="D26" s="26" t="s">
        <v>733</v>
      </c>
      <c r="E26" s="26" t="s">
        <v>734</v>
      </c>
      <c r="F26" s="26" t="s">
        <v>735</v>
      </c>
      <c r="G26" s="26" t="s">
        <v>716</v>
      </c>
      <c r="H26" s="26" t="s">
        <v>689</v>
      </c>
      <c r="I26" s="26" t="s">
        <v>388</v>
      </c>
    </row>
    <row r="27" spans="1:9" ht="48" x14ac:dyDescent="0.2">
      <c r="A27" s="26">
        <v>21</v>
      </c>
      <c r="B27" s="26" t="s">
        <v>728</v>
      </c>
      <c r="C27" s="26" t="s">
        <v>729</v>
      </c>
      <c r="D27" s="26" t="s">
        <v>736</v>
      </c>
      <c r="E27" s="26" t="s">
        <v>737</v>
      </c>
      <c r="F27" s="26" t="s">
        <v>735</v>
      </c>
      <c r="G27" s="26" t="s">
        <v>716</v>
      </c>
      <c r="H27" s="26" t="s">
        <v>689</v>
      </c>
      <c r="I27" s="26" t="s">
        <v>388</v>
      </c>
    </row>
    <row r="28" spans="1:9" ht="32" x14ac:dyDescent="0.2">
      <c r="A28" s="26">
        <v>22</v>
      </c>
      <c r="B28" s="26" t="s">
        <v>728</v>
      </c>
      <c r="C28" s="26" t="s">
        <v>729</v>
      </c>
      <c r="D28" s="26" t="s">
        <v>738</v>
      </c>
      <c r="E28" s="26" t="s">
        <v>739</v>
      </c>
      <c r="F28" s="26" t="s">
        <v>719</v>
      </c>
      <c r="G28" s="26" t="s">
        <v>716</v>
      </c>
      <c r="H28" s="26" t="s">
        <v>689</v>
      </c>
      <c r="I28" s="26" t="s">
        <v>388</v>
      </c>
    </row>
    <row r="30" spans="1:9" ht="42" customHeight="1" x14ac:dyDescent="0.2">
      <c r="A30" s="44" t="s">
        <v>740</v>
      </c>
      <c r="B30" s="44"/>
      <c r="C30" s="44"/>
      <c r="D30" s="44"/>
      <c r="E30" s="44"/>
      <c r="F30" s="44"/>
      <c r="G30" s="44"/>
      <c r="H30" s="44"/>
      <c r="I30" s="44"/>
    </row>
  </sheetData>
  <mergeCells count="4">
    <mergeCell ref="A1:H1"/>
    <mergeCell ref="A2:H2"/>
    <mergeCell ref="A24:I24"/>
    <mergeCell ref="A30:I30"/>
  </mergeCells>
  <dataValidations count="1">
    <dataValidation type="list" allowBlank="1" sqref="I5:I28" xr:uid="{4F8A411F-8E1F-3441-9559-F765E05CA472}">
      <formula1>"Not started,Not scheduled,Drafted,Published"</formula1>
      <formula2>0</formula2>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45"/>
  <sheetViews>
    <sheetView showGridLines="0" zoomScaleNormal="100" workbookViewId="0">
      <selection activeCell="B12" sqref="B12"/>
    </sheetView>
  </sheetViews>
  <sheetFormatPr baseColWidth="10" defaultColWidth="8.6640625" defaultRowHeight="15" x14ac:dyDescent="0.2"/>
  <cols>
    <col min="1" max="1" width="60" customWidth="1"/>
    <col min="2" max="2" width="14" customWidth="1"/>
    <col min="3" max="3" width="46" customWidth="1"/>
  </cols>
  <sheetData>
    <row r="1" spans="1:3" ht="25.5" customHeight="1" x14ac:dyDescent="0.2">
      <c r="A1" s="35" t="s">
        <v>293</v>
      </c>
      <c r="B1" s="35"/>
      <c r="C1" s="35"/>
    </row>
    <row r="4" spans="1:3" x14ac:dyDescent="0.2">
      <c r="A4" s="1" t="s">
        <v>294</v>
      </c>
      <c r="B4" s="1" t="s">
        <v>3</v>
      </c>
      <c r="C4" s="1" t="s">
        <v>295</v>
      </c>
    </row>
    <row r="5" spans="1:3" ht="21.75" customHeight="1" x14ac:dyDescent="0.2">
      <c r="A5" s="8" t="s">
        <v>296</v>
      </c>
      <c r="B5" s="8" t="s">
        <v>169</v>
      </c>
      <c r="C5" s="8" t="s">
        <v>297</v>
      </c>
    </row>
    <row r="6" spans="1:3" x14ac:dyDescent="0.2">
      <c r="A6" s="6"/>
      <c r="B6" s="6"/>
      <c r="C6" s="6"/>
    </row>
    <row r="7" spans="1:3" x14ac:dyDescent="0.2">
      <c r="A7" s="6"/>
      <c r="B7" s="6"/>
      <c r="C7" s="6"/>
    </row>
    <row r="8" spans="1:3" x14ac:dyDescent="0.2">
      <c r="A8" s="6"/>
      <c r="B8" s="6"/>
      <c r="C8" s="6"/>
    </row>
    <row r="9" spans="1:3" x14ac:dyDescent="0.2">
      <c r="A9" s="6"/>
      <c r="B9" s="6"/>
      <c r="C9" s="6"/>
    </row>
    <row r="10" spans="1:3" x14ac:dyDescent="0.2">
      <c r="A10" s="6"/>
      <c r="B10" s="6"/>
      <c r="C10" s="6"/>
    </row>
    <row r="11" spans="1:3" x14ac:dyDescent="0.2">
      <c r="A11" s="6"/>
      <c r="B11" s="6"/>
      <c r="C11" s="6"/>
    </row>
    <row r="12" spans="1:3" x14ac:dyDescent="0.2">
      <c r="A12" s="6"/>
      <c r="B12" s="6"/>
      <c r="C12" s="6"/>
    </row>
    <row r="13" spans="1:3" x14ac:dyDescent="0.2">
      <c r="A13" s="6"/>
      <c r="B13" s="6"/>
      <c r="C13" s="6"/>
    </row>
    <row r="14" spans="1:3" x14ac:dyDescent="0.2">
      <c r="A14" s="6"/>
      <c r="B14" s="6"/>
      <c r="C14" s="6"/>
    </row>
    <row r="15" spans="1:3" x14ac:dyDescent="0.2">
      <c r="A15" s="6"/>
      <c r="B15" s="6"/>
      <c r="C15" s="6"/>
    </row>
    <row r="16" spans="1:3" x14ac:dyDescent="0.2">
      <c r="A16" s="6"/>
      <c r="B16" s="6"/>
      <c r="C16" s="6"/>
    </row>
    <row r="17" spans="1:3" x14ac:dyDescent="0.2">
      <c r="A17" s="6"/>
      <c r="B17" s="6"/>
      <c r="C17" s="6"/>
    </row>
    <row r="18" spans="1:3" x14ac:dyDescent="0.2">
      <c r="A18" s="6"/>
      <c r="B18" s="6"/>
      <c r="C18" s="6"/>
    </row>
    <row r="19" spans="1:3" x14ac:dyDescent="0.2">
      <c r="A19" s="6"/>
      <c r="B19" s="6"/>
      <c r="C19" s="6"/>
    </row>
    <row r="20" spans="1:3" x14ac:dyDescent="0.2">
      <c r="A20" s="6"/>
      <c r="B20" s="6"/>
      <c r="C20" s="6"/>
    </row>
    <row r="21" spans="1:3" x14ac:dyDescent="0.2">
      <c r="A21" s="6"/>
      <c r="B21" s="6"/>
      <c r="C21" s="6"/>
    </row>
    <row r="22" spans="1:3" x14ac:dyDescent="0.2">
      <c r="A22" s="6"/>
      <c r="B22" s="6"/>
      <c r="C22" s="6"/>
    </row>
    <row r="23" spans="1:3" x14ac:dyDescent="0.2">
      <c r="A23" s="6"/>
      <c r="B23" s="6"/>
      <c r="C23" s="6"/>
    </row>
    <row r="24" spans="1:3" x14ac:dyDescent="0.2">
      <c r="A24" s="6"/>
      <c r="B24" s="6"/>
      <c r="C24" s="6"/>
    </row>
    <row r="25" spans="1:3" x14ac:dyDescent="0.2">
      <c r="A25" s="6"/>
      <c r="B25" s="6"/>
      <c r="C25" s="6"/>
    </row>
    <row r="26" spans="1:3" x14ac:dyDescent="0.2">
      <c r="A26" s="6"/>
      <c r="B26" s="6"/>
      <c r="C26" s="6"/>
    </row>
    <row r="27" spans="1:3" x14ac:dyDescent="0.2">
      <c r="A27" s="6"/>
      <c r="B27" s="6"/>
      <c r="C27" s="6"/>
    </row>
    <row r="28" spans="1:3" x14ac:dyDescent="0.2">
      <c r="A28" s="6"/>
      <c r="B28" s="6"/>
      <c r="C28" s="6"/>
    </row>
    <row r="29" spans="1:3" x14ac:dyDescent="0.2">
      <c r="A29" s="6"/>
      <c r="B29" s="6"/>
      <c r="C29" s="6"/>
    </row>
    <row r="30" spans="1:3" x14ac:dyDescent="0.2">
      <c r="A30" s="6"/>
      <c r="B30" s="6"/>
      <c r="C30" s="6"/>
    </row>
    <row r="31" spans="1:3" x14ac:dyDescent="0.2">
      <c r="A31" s="6"/>
      <c r="B31" s="6"/>
      <c r="C31" s="6"/>
    </row>
    <row r="32" spans="1:3" x14ac:dyDescent="0.2">
      <c r="A32" s="6"/>
      <c r="B32" s="6"/>
      <c r="C32" s="6"/>
    </row>
    <row r="33" spans="1:3" x14ac:dyDescent="0.2">
      <c r="A33" s="6"/>
      <c r="B33" s="6"/>
      <c r="C33" s="6"/>
    </row>
    <row r="34" spans="1:3" x14ac:dyDescent="0.2">
      <c r="A34" s="6"/>
      <c r="B34" s="6"/>
      <c r="C34" s="6"/>
    </row>
    <row r="35" spans="1:3" x14ac:dyDescent="0.2">
      <c r="A35" s="6"/>
      <c r="B35" s="6"/>
      <c r="C35" s="6"/>
    </row>
    <row r="36" spans="1:3" x14ac:dyDescent="0.2">
      <c r="A36" s="6"/>
      <c r="B36" s="6"/>
      <c r="C36" s="6"/>
    </row>
    <row r="37" spans="1:3" x14ac:dyDescent="0.2">
      <c r="A37" s="6"/>
      <c r="B37" s="6"/>
      <c r="C37" s="6"/>
    </row>
    <row r="38" spans="1:3" x14ac:dyDescent="0.2">
      <c r="A38" s="6"/>
      <c r="B38" s="6"/>
      <c r="C38" s="6"/>
    </row>
    <row r="39" spans="1:3" x14ac:dyDescent="0.2">
      <c r="A39" s="6"/>
      <c r="B39" s="6"/>
      <c r="C39" s="6"/>
    </row>
    <row r="40" spans="1:3" x14ac:dyDescent="0.2">
      <c r="A40" s="6"/>
      <c r="B40" s="6"/>
      <c r="C40" s="6"/>
    </row>
    <row r="41" spans="1:3" x14ac:dyDescent="0.2">
      <c r="A41" s="6"/>
      <c r="B41" s="6"/>
      <c r="C41" s="6"/>
    </row>
    <row r="42" spans="1:3" x14ac:dyDescent="0.2">
      <c r="A42" s="6"/>
      <c r="B42" s="6"/>
      <c r="C42" s="6"/>
    </row>
    <row r="43" spans="1:3" x14ac:dyDescent="0.2">
      <c r="A43" s="6"/>
      <c r="B43" s="6"/>
      <c r="C43" s="6"/>
    </row>
    <row r="44" spans="1:3" x14ac:dyDescent="0.2">
      <c r="A44" s="6"/>
      <c r="B44" s="6"/>
      <c r="C44" s="6"/>
    </row>
    <row r="45" spans="1:3" x14ac:dyDescent="0.2">
      <c r="A45" s="6"/>
      <c r="B45" s="6"/>
      <c r="C45" s="6"/>
    </row>
  </sheetData>
  <mergeCells count="1">
    <mergeCell ref="A1:C1"/>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931F7-CC8F-8946-808D-95EDE4280EDF}">
  <dimension ref="A1:I26"/>
  <sheetViews>
    <sheetView workbookViewId="0">
      <selection activeCell="A6" sqref="A6"/>
    </sheetView>
  </sheetViews>
  <sheetFormatPr baseColWidth="10" defaultRowHeight="15" x14ac:dyDescent="0.2"/>
  <cols>
    <col min="1" max="1" width="111.1640625" customWidth="1"/>
    <col min="2" max="2" width="118.6640625" customWidth="1"/>
  </cols>
  <sheetData>
    <row r="1" spans="1:9" ht="20" x14ac:dyDescent="0.25">
      <c r="A1" s="46" t="s">
        <v>886</v>
      </c>
      <c r="B1" s="18"/>
      <c r="C1" s="18"/>
      <c r="D1" s="18"/>
      <c r="E1" s="18"/>
      <c r="F1" s="18"/>
      <c r="G1" s="18"/>
      <c r="H1" s="18"/>
      <c r="I1" s="18"/>
    </row>
    <row r="2" spans="1:9" x14ac:dyDescent="0.2">
      <c r="A2" s="18"/>
      <c r="B2" s="18"/>
      <c r="C2" s="18"/>
      <c r="D2" s="18"/>
      <c r="E2" s="18"/>
      <c r="F2" s="18"/>
      <c r="G2" s="18"/>
      <c r="H2" s="18"/>
      <c r="I2" s="18"/>
    </row>
    <row r="3" spans="1:9" ht="16" x14ac:dyDescent="0.2">
      <c r="A3" s="47" t="s">
        <v>887</v>
      </c>
      <c r="B3" s="47" t="s">
        <v>888</v>
      </c>
      <c r="C3" s="18"/>
      <c r="D3" s="18"/>
      <c r="E3" s="18"/>
      <c r="F3" s="18"/>
      <c r="G3" s="18"/>
      <c r="H3" s="18"/>
      <c r="I3" s="18"/>
    </row>
    <row r="4" spans="1:9" ht="16" x14ac:dyDescent="0.2">
      <c r="A4" s="47" t="s">
        <v>889</v>
      </c>
      <c r="B4" s="18" t="s">
        <v>890</v>
      </c>
      <c r="C4" s="18"/>
      <c r="D4" s="18"/>
      <c r="E4" s="18"/>
      <c r="F4" s="18"/>
      <c r="G4" s="18"/>
      <c r="H4" s="18"/>
      <c r="I4" s="18"/>
    </row>
    <row r="5" spans="1:9" ht="16" x14ac:dyDescent="0.2">
      <c r="A5" s="47" t="s">
        <v>891</v>
      </c>
      <c r="B5" s="18" t="s">
        <v>892</v>
      </c>
      <c r="C5" s="18"/>
      <c r="D5" s="18"/>
      <c r="E5" s="18"/>
      <c r="F5" s="18"/>
      <c r="G5" s="18"/>
      <c r="H5" s="18"/>
      <c r="I5" s="18"/>
    </row>
    <row r="6" spans="1:9" ht="16" x14ac:dyDescent="0.2">
      <c r="A6" s="47" t="s">
        <v>893</v>
      </c>
      <c r="B6" s="18" t="s">
        <v>894</v>
      </c>
      <c r="C6" s="18"/>
      <c r="D6" s="18"/>
      <c r="E6" s="18"/>
      <c r="F6" s="18"/>
      <c r="G6" s="18"/>
      <c r="H6" s="18"/>
      <c r="I6" s="18"/>
    </row>
    <row r="7" spans="1:9" ht="16" x14ac:dyDescent="0.2">
      <c r="A7" s="47" t="s">
        <v>895</v>
      </c>
      <c r="B7" s="18" t="s">
        <v>896</v>
      </c>
      <c r="C7" s="18"/>
      <c r="D7" s="18"/>
      <c r="E7" s="18"/>
      <c r="F7" s="18"/>
      <c r="G7" s="18"/>
      <c r="H7" s="18"/>
      <c r="I7" s="18"/>
    </row>
    <row r="8" spans="1:9" ht="16" x14ac:dyDescent="0.2">
      <c r="A8" s="47" t="s">
        <v>897</v>
      </c>
      <c r="B8" s="18" t="s">
        <v>898</v>
      </c>
      <c r="C8" s="18"/>
      <c r="D8" s="18"/>
      <c r="E8" s="18"/>
      <c r="F8" s="18"/>
      <c r="G8" s="18"/>
      <c r="H8" s="18"/>
      <c r="I8" s="18"/>
    </row>
    <row r="9" spans="1:9" ht="16" x14ac:dyDescent="0.2">
      <c r="A9" s="47" t="s">
        <v>899</v>
      </c>
      <c r="B9" s="18" t="s">
        <v>900</v>
      </c>
      <c r="C9" s="18"/>
      <c r="D9" s="18"/>
      <c r="E9" s="18"/>
      <c r="F9" s="18"/>
      <c r="G9" s="18"/>
      <c r="H9" s="18"/>
      <c r="I9" s="18"/>
    </row>
    <row r="10" spans="1:9" ht="16" x14ac:dyDescent="0.2">
      <c r="A10" s="47" t="s">
        <v>901</v>
      </c>
      <c r="B10" s="18" t="s">
        <v>902</v>
      </c>
      <c r="C10" s="18"/>
      <c r="D10" s="18"/>
      <c r="E10" s="18"/>
      <c r="F10" s="18"/>
      <c r="G10" s="18"/>
      <c r="H10" s="18"/>
      <c r="I10" s="18"/>
    </row>
    <row r="11" spans="1:9" x14ac:dyDescent="0.2">
      <c r="A11" s="18"/>
      <c r="B11" s="18"/>
      <c r="C11" s="18"/>
      <c r="D11" s="18"/>
      <c r="E11" s="18"/>
      <c r="F11" s="18"/>
      <c r="G11" s="18"/>
      <c r="H11" s="18"/>
      <c r="I11" s="18"/>
    </row>
    <row r="12" spans="1:9" ht="20" x14ac:dyDescent="0.25">
      <c r="A12" s="46" t="s">
        <v>903</v>
      </c>
      <c r="B12" s="18"/>
      <c r="C12" s="18"/>
      <c r="D12" s="18"/>
      <c r="E12" s="18"/>
      <c r="F12" s="18"/>
      <c r="G12" s="18"/>
      <c r="H12" s="18"/>
      <c r="I12" s="18"/>
    </row>
    <row r="13" spans="1:9" x14ac:dyDescent="0.2">
      <c r="A13" s="18"/>
      <c r="B13" s="18"/>
      <c r="C13" s="18"/>
      <c r="D13" s="18"/>
      <c r="E13" s="18"/>
      <c r="F13" s="18"/>
      <c r="G13" s="18"/>
      <c r="H13" s="18"/>
      <c r="I13" s="18"/>
    </row>
    <row r="14" spans="1:9" ht="32" x14ac:dyDescent="0.2">
      <c r="A14" s="47" t="s">
        <v>904</v>
      </c>
      <c r="B14" s="18"/>
      <c r="C14" s="18"/>
      <c r="D14" s="18"/>
      <c r="E14" s="18"/>
      <c r="F14" s="18"/>
      <c r="G14" s="18"/>
      <c r="H14" s="18"/>
      <c r="I14" s="18"/>
    </row>
    <row r="15" spans="1:9" ht="16" x14ac:dyDescent="0.2">
      <c r="A15" s="47" t="s">
        <v>905</v>
      </c>
      <c r="B15" s="18"/>
      <c r="C15" s="18"/>
      <c r="D15" s="18"/>
      <c r="E15" s="18"/>
      <c r="F15" s="18"/>
      <c r="G15" s="18"/>
      <c r="H15" s="18"/>
      <c r="I15" s="18"/>
    </row>
    <row r="16" spans="1:9" ht="16" x14ac:dyDescent="0.2">
      <c r="A16" s="47" t="s">
        <v>906</v>
      </c>
      <c r="B16" s="18"/>
      <c r="C16" s="18"/>
      <c r="D16" s="18"/>
      <c r="E16" s="18"/>
      <c r="F16" s="18"/>
      <c r="G16" s="18"/>
      <c r="H16" s="18"/>
      <c r="I16" s="18"/>
    </row>
    <row r="17" spans="1:9" ht="16" x14ac:dyDescent="0.2">
      <c r="A17" s="47" t="s">
        <v>907</v>
      </c>
      <c r="B17" s="18"/>
      <c r="C17" s="18"/>
      <c r="D17" s="18"/>
      <c r="E17" s="18"/>
      <c r="F17" s="18"/>
      <c r="G17" s="18"/>
      <c r="H17" s="18"/>
      <c r="I17" s="18"/>
    </row>
    <row r="18" spans="1:9" ht="32" x14ac:dyDescent="0.2">
      <c r="A18" s="47" t="s">
        <v>908</v>
      </c>
      <c r="B18" s="18"/>
      <c r="C18" s="18"/>
      <c r="D18" s="18"/>
      <c r="E18" s="18"/>
      <c r="F18" s="18"/>
      <c r="G18" s="18"/>
      <c r="H18" s="18"/>
      <c r="I18" s="18"/>
    </row>
    <row r="19" spans="1:9" x14ac:dyDescent="0.2">
      <c r="A19" s="18"/>
      <c r="B19" s="18"/>
      <c r="C19" s="18"/>
      <c r="D19" s="18"/>
      <c r="E19" s="18"/>
      <c r="F19" s="18"/>
      <c r="G19" s="18"/>
      <c r="H19" s="18"/>
      <c r="I19" s="18"/>
    </row>
    <row r="20" spans="1:9" ht="48" x14ac:dyDescent="0.2">
      <c r="A20" s="47" t="s">
        <v>909</v>
      </c>
      <c r="B20" s="18"/>
      <c r="C20" s="18"/>
      <c r="D20" s="18"/>
      <c r="E20" s="18"/>
      <c r="F20" s="18"/>
      <c r="G20" s="18"/>
      <c r="H20" s="18"/>
      <c r="I20" s="18"/>
    </row>
    <row r="21" spans="1:9" x14ac:dyDescent="0.2">
      <c r="A21" s="18"/>
      <c r="B21" s="18"/>
      <c r="C21" s="18"/>
      <c r="D21" s="18"/>
      <c r="E21" s="18"/>
      <c r="F21" s="18"/>
      <c r="G21" s="18"/>
      <c r="H21" s="18"/>
      <c r="I21" s="18"/>
    </row>
    <row r="22" spans="1:9" ht="20" x14ac:dyDescent="0.25">
      <c r="A22" s="46" t="s">
        <v>910</v>
      </c>
      <c r="B22" s="18"/>
      <c r="C22" s="18"/>
      <c r="D22" s="18"/>
      <c r="E22" s="18"/>
      <c r="F22" s="18"/>
      <c r="G22" s="18"/>
      <c r="H22" s="18"/>
      <c r="I22" s="18"/>
    </row>
    <row r="23" spans="1:9" x14ac:dyDescent="0.2">
      <c r="A23" s="18"/>
      <c r="B23" s="18"/>
      <c r="C23" s="18"/>
      <c r="D23" s="18"/>
      <c r="E23" s="18"/>
      <c r="F23" s="18"/>
      <c r="G23" s="18"/>
      <c r="H23" s="18"/>
      <c r="I23" s="18"/>
    </row>
    <row r="24" spans="1:9" ht="48" x14ac:dyDescent="0.2">
      <c r="A24" s="47" t="s">
        <v>911</v>
      </c>
      <c r="B24" s="18"/>
      <c r="C24" s="18"/>
      <c r="D24" s="18"/>
      <c r="E24" s="18"/>
      <c r="F24" s="18"/>
      <c r="G24" s="18"/>
      <c r="H24" s="18"/>
      <c r="I24" s="18"/>
    </row>
    <row r="25" spans="1:9" ht="64" x14ac:dyDescent="0.2">
      <c r="A25" s="47" t="s">
        <v>912</v>
      </c>
      <c r="B25" s="18"/>
      <c r="C25" s="18"/>
      <c r="D25" s="18"/>
      <c r="E25" s="18"/>
      <c r="F25" s="18"/>
      <c r="G25" s="18"/>
      <c r="H25" s="18"/>
      <c r="I25" s="18"/>
    </row>
    <row r="26" spans="1:9" ht="48" x14ac:dyDescent="0.2">
      <c r="A26" s="47" t="s">
        <v>913</v>
      </c>
      <c r="B26" s="18"/>
      <c r="C26" s="18"/>
      <c r="D26" s="18"/>
      <c r="E26" s="18"/>
      <c r="F26" s="18"/>
      <c r="G26" s="18"/>
      <c r="H26" s="18"/>
      <c r="I26" s="18"/>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9208D-E153-D94F-949B-1D2F26D7FF23}">
  <dimension ref="A1:J208"/>
  <sheetViews>
    <sheetView tabSelected="1" topLeftCell="A51" workbookViewId="0">
      <selection activeCell="A73" sqref="A73"/>
    </sheetView>
  </sheetViews>
  <sheetFormatPr baseColWidth="10" defaultRowHeight="15" x14ac:dyDescent="0.2"/>
  <cols>
    <col min="1" max="1" width="58" customWidth="1"/>
    <col min="2" max="2" width="26" customWidth="1"/>
    <col min="3" max="3" width="23.6640625" customWidth="1"/>
    <col min="4" max="4" width="24.83203125" customWidth="1"/>
    <col min="5" max="5" width="18.5" customWidth="1"/>
    <col min="6" max="6" width="15" customWidth="1"/>
  </cols>
  <sheetData>
    <row r="1" spans="1:8" s="20" customFormat="1" x14ac:dyDescent="0.2">
      <c r="A1" s="20" t="s">
        <v>411</v>
      </c>
      <c r="B1" s="20" t="s">
        <v>415</v>
      </c>
      <c r="C1" s="20" t="s">
        <v>166</v>
      </c>
      <c r="D1" s="20" t="s">
        <v>149</v>
      </c>
      <c r="E1" s="20" t="s">
        <v>551</v>
      </c>
      <c r="F1" s="20" t="s">
        <v>553</v>
      </c>
      <c r="G1" s="20" t="s">
        <v>864</v>
      </c>
    </row>
    <row r="2" spans="1:8" x14ac:dyDescent="0.2">
      <c r="A2" t="s">
        <v>453</v>
      </c>
      <c r="B2" s="19" t="s">
        <v>416</v>
      </c>
      <c r="C2" s="19"/>
      <c r="D2" t="s">
        <v>454</v>
      </c>
      <c r="F2" t="s">
        <v>554</v>
      </c>
    </row>
    <row r="3" spans="1:8" x14ac:dyDescent="0.2">
      <c r="A3" t="s">
        <v>306</v>
      </c>
      <c r="B3" s="19" t="s">
        <v>416</v>
      </c>
      <c r="C3" s="19"/>
      <c r="D3" t="s">
        <v>429</v>
      </c>
      <c r="E3" t="s">
        <v>554</v>
      </c>
      <c r="G3" t="s">
        <v>865</v>
      </c>
    </row>
    <row r="4" spans="1:8" x14ac:dyDescent="0.2">
      <c r="A4" t="s">
        <v>339</v>
      </c>
      <c r="B4" t="s">
        <v>416</v>
      </c>
      <c r="D4" t="s">
        <v>421</v>
      </c>
    </row>
    <row r="5" spans="1:8" x14ac:dyDescent="0.2">
      <c r="A5" t="s">
        <v>441</v>
      </c>
      <c r="B5" s="19" t="s">
        <v>416</v>
      </c>
      <c r="C5" s="19"/>
      <c r="D5" t="s">
        <v>460</v>
      </c>
      <c r="E5" t="s">
        <v>554</v>
      </c>
      <c r="G5" t="s">
        <v>865</v>
      </c>
    </row>
    <row r="6" spans="1:8" x14ac:dyDescent="0.2">
      <c r="A6" t="s">
        <v>464</v>
      </c>
      <c r="B6" s="19" t="s">
        <v>416</v>
      </c>
      <c r="C6" s="19"/>
      <c r="D6" t="s">
        <v>467</v>
      </c>
      <c r="E6" t="s">
        <v>554</v>
      </c>
      <c r="G6" t="s">
        <v>865</v>
      </c>
    </row>
    <row r="7" spans="1:8" x14ac:dyDescent="0.2">
      <c r="A7" t="s">
        <v>336</v>
      </c>
      <c r="B7" t="s">
        <v>416</v>
      </c>
      <c r="D7" t="s">
        <v>417</v>
      </c>
      <c r="E7" t="s">
        <v>554</v>
      </c>
      <c r="G7" t="s">
        <v>865</v>
      </c>
    </row>
    <row r="8" spans="1:8" x14ac:dyDescent="0.2">
      <c r="A8" t="s">
        <v>333</v>
      </c>
      <c r="B8" t="s">
        <v>416</v>
      </c>
      <c r="D8" t="s">
        <v>412</v>
      </c>
      <c r="E8" t="s">
        <v>554</v>
      </c>
      <c r="G8" t="s">
        <v>865</v>
      </c>
      <c r="H8" t="s">
        <v>476</v>
      </c>
    </row>
    <row r="9" spans="1:8" x14ac:dyDescent="0.2">
      <c r="A9" t="s">
        <v>349</v>
      </c>
      <c r="B9" s="19" t="s">
        <v>416</v>
      </c>
      <c r="C9" s="19"/>
      <c r="D9" t="s">
        <v>439</v>
      </c>
      <c r="E9" t="s">
        <v>554</v>
      </c>
      <c r="G9" t="s">
        <v>865</v>
      </c>
    </row>
    <row r="10" spans="1:8" x14ac:dyDescent="0.2">
      <c r="A10" t="s">
        <v>347</v>
      </c>
      <c r="B10" s="19" t="s">
        <v>416</v>
      </c>
      <c r="C10" s="19"/>
      <c r="D10" t="s">
        <v>437</v>
      </c>
    </row>
    <row r="11" spans="1:8" x14ac:dyDescent="0.2">
      <c r="A11" t="s">
        <v>470</v>
      </c>
      <c r="B11" s="19" t="s">
        <v>416</v>
      </c>
      <c r="C11" s="19"/>
      <c r="D11" t="s">
        <v>471</v>
      </c>
      <c r="F11" t="s">
        <v>554</v>
      </c>
      <c r="G11" t="s">
        <v>865</v>
      </c>
    </row>
    <row r="12" spans="1:8" x14ac:dyDescent="0.2">
      <c r="A12" t="s">
        <v>458</v>
      </c>
      <c r="B12" s="19" t="s">
        <v>416</v>
      </c>
      <c r="C12" s="19"/>
      <c r="D12" t="s">
        <v>459</v>
      </c>
      <c r="F12" t="s">
        <v>554</v>
      </c>
      <c r="G12" t="s">
        <v>865</v>
      </c>
    </row>
    <row r="13" spans="1:8" x14ac:dyDescent="0.2">
      <c r="A13" t="s">
        <v>320</v>
      </c>
      <c r="B13" s="19" t="s">
        <v>416</v>
      </c>
      <c r="C13" s="19"/>
      <c r="D13" t="s">
        <v>457</v>
      </c>
      <c r="E13" t="s">
        <v>554</v>
      </c>
      <c r="G13" t="s">
        <v>865</v>
      </c>
    </row>
    <row r="14" spans="1:8" x14ac:dyDescent="0.2">
      <c r="A14" t="s">
        <v>341</v>
      </c>
      <c r="B14" s="19" t="s">
        <v>416</v>
      </c>
      <c r="C14" s="19"/>
      <c r="D14" t="s">
        <v>423</v>
      </c>
      <c r="E14" t="s">
        <v>554</v>
      </c>
      <c r="G14" t="s">
        <v>865</v>
      </c>
    </row>
    <row r="15" spans="1:8" x14ac:dyDescent="0.2">
      <c r="A15" t="s">
        <v>301</v>
      </c>
      <c r="B15" s="19" t="s">
        <v>416</v>
      </c>
      <c r="C15" s="19"/>
      <c r="D15" t="s">
        <v>427</v>
      </c>
      <c r="H15" t="s">
        <v>476</v>
      </c>
    </row>
    <row r="16" spans="1:8" x14ac:dyDescent="0.2">
      <c r="A16" t="s">
        <v>330</v>
      </c>
      <c r="B16" s="19" t="s">
        <v>416</v>
      </c>
      <c r="C16" s="19"/>
      <c r="D16" t="s">
        <v>496</v>
      </c>
      <c r="E16" t="s">
        <v>554</v>
      </c>
      <c r="G16" t="s">
        <v>865</v>
      </c>
    </row>
    <row r="17" spans="1:10" x14ac:dyDescent="0.2">
      <c r="A17" t="s">
        <v>324</v>
      </c>
      <c r="B17" s="19" t="s">
        <v>416</v>
      </c>
      <c r="C17" s="19"/>
      <c r="D17" t="s">
        <v>495</v>
      </c>
      <c r="E17" t="s">
        <v>554</v>
      </c>
      <c r="G17" t="s">
        <v>865</v>
      </c>
    </row>
    <row r="18" spans="1:10" x14ac:dyDescent="0.2">
      <c r="A18" t="s">
        <v>455</v>
      </c>
      <c r="B18" s="19" t="s">
        <v>416</v>
      </c>
      <c r="C18" s="19"/>
      <c r="D18" t="s">
        <v>456</v>
      </c>
      <c r="F18" t="s">
        <v>554</v>
      </c>
      <c r="G18" t="s">
        <v>865</v>
      </c>
      <c r="J18" t="s">
        <v>476</v>
      </c>
    </row>
    <row r="19" spans="1:10" x14ac:dyDescent="0.2">
      <c r="A19" t="s">
        <v>300</v>
      </c>
      <c r="B19" s="19" t="s">
        <v>416</v>
      </c>
      <c r="C19" s="19"/>
      <c r="D19" t="s">
        <v>490</v>
      </c>
      <c r="E19" t="s">
        <v>554</v>
      </c>
      <c r="G19" t="s">
        <v>865</v>
      </c>
    </row>
    <row r="20" spans="1:10" x14ac:dyDescent="0.2">
      <c r="A20" t="s">
        <v>332</v>
      </c>
      <c r="B20" s="19" t="s">
        <v>416</v>
      </c>
      <c r="C20" s="19"/>
      <c r="D20" t="s">
        <v>494</v>
      </c>
      <c r="E20" t="s">
        <v>554</v>
      </c>
      <c r="G20" t="s">
        <v>865</v>
      </c>
      <c r="I20" t="s">
        <v>476</v>
      </c>
    </row>
    <row r="21" spans="1:10" x14ac:dyDescent="0.2">
      <c r="A21" t="s">
        <v>303</v>
      </c>
      <c r="B21" s="19" t="s">
        <v>416</v>
      </c>
      <c r="C21" s="19"/>
      <c r="D21" t="s">
        <v>493</v>
      </c>
      <c r="E21" t="s">
        <v>554</v>
      </c>
      <c r="G21" t="s">
        <v>865</v>
      </c>
    </row>
    <row r="22" spans="1:10" x14ac:dyDescent="0.2">
      <c r="A22" t="s">
        <v>446</v>
      </c>
      <c r="B22" s="19" t="s">
        <v>416</v>
      </c>
      <c r="C22" s="19"/>
      <c r="D22" t="s">
        <v>445</v>
      </c>
      <c r="E22" t="s">
        <v>554</v>
      </c>
    </row>
    <row r="23" spans="1:10" x14ac:dyDescent="0.2">
      <c r="A23" t="s">
        <v>328</v>
      </c>
      <c r="B23" s="19" t="s">
        <v>416</v>
      </c>
      <c r="C23" s="19"/>
      <c r="D23" t="s">
        <v>433</v>
      </c>
      <c r="E23" t="s">
        <v>554</v>
      </c>
      <c r="G23" t="s">
        <v>865</v>
      </c>
    </row>
    <row r="24" spans="1:10" x14ac:dyDescent="0.2">
      <c r="A24" t="s">
        <v>350</v>
      </c>
      <c r="B24" s="19" t="s">
        <v>416</v>
      </c>
      <c r="C24" s="19"/>
      <c r="D24" t="s">
        <v>440</v>
      </c>
      <c r="E24" t="s">
        <v>554</v>
      </c>
      <c r="G24" t="s">
        <v>865</v>
      </c>
    </row>
    <row r="25" spans="1:10" x14ac:dyDescent="0.2">
      <c r="A25" t="s">
        <v>474</v>
      </c>
      <c r="B25" s="19" t="s">
        <v>416</v>
      </c>
      <c r="C25" s="19"/>
      <c r="D25" t="s">
        <v>475</v>
      </c>
      <c r="E25" t="s">
        <v>554</v>
      </c>
      <c r="G25" t="s">
        <v>865</v>
      </c>
    </row>
    <row r="26" spans="1:10" x14ac:dyDescent="0.2">
      <c r="A26" t="s">
        <v>348</v>
      </c>
      <c r="B26" s="19" t="s">
        <v>416</v>
      </c>
      <c r="C26" s="19"/>
      <c r="D26" t="s">
        <v>438</v>
      </c>
    </row>
    <row r="27" spans="1:10" x14ac:dyDescent="0.2">
      <c r="A27" t="s">
        <v>447</v>
      </c>
      <c r="B27" s="19" t="s">
        <v>416</v>
      </c>
      <c r="C27" s="19"/>
      <c r="D27" t="s">
        <v>448</v>
      </c>
      <c r="E27" t="s">
        <v>554</v>
      </c>
      <c r="G27" t="s">
        <v>865</v>
      </c>
    </row>
    <row r="28" spans="1:10" x14ac:dyDescent="0.2">
      <c r="A28" t="s">
        <v>468</v>
      </c>
      <c r="B28" s="19" t="s">
        <v>416</v>
      </c>
      <c r="C28" s="19"/>
      <c r="D28" t="s">
        <v>469</v>
      </c>
      <c r="E28" t="s">
        <v>555</v>
      </c>
      <c r="G28" t="s">
        <v>916</v>
      </c>
    </row>
    <row r="29" spans="1:10" x14ac:dyDescent="0.2">
      <c r="A29" t="s">
        <v>343</v>
      </c>
      <c r="B29" s="19" t="s">
        <v>416</v>
      </c>
      <c r="C29" s="19"/>
      <c r="D29" t="s">
        <v>425</v>
      </c>
      <c r="E29" t="s">
        <v>555</v>
      </c>
      <c r="G29" t="s">
        <v>865</v>
      </c>
    </row>
    <row r="30" spans="1:10" x14ac:dyDescent="0.2">
      <c r="A30" t="s">
        <v>472</v>
      </c>
      <c r="B30" s="19" t="s">
        <v>416</v>
      </c>
      <c r="C30" s="19"/>
      <c r="D30" t="s">
        <v>473</v>
      </c>
      <c r="E30" t="s">
        <v>555</v>
      </c>
      <c r="G30" t="s">
        <v>916</v>
      </c>
    </row>
    <row r="31" spans="1:10" x14ac:dyDescent="0.2">
      <c r="A31" t="s">
        <v>478</v>
      </c>
      <c r="B31" s="19" t="s">
        <v>416</v>
      </c>
      <c r="C31" s="19"/>
      <c r="D31" t="s">
        <v>477</v>
      </c>
      <c r="E31" t="s">
        <v>555</v>
      </c>
      <c r="G31" t="s">
        <v>865</v>
      </c>
    </row>
    <row r="32" spans="1:10" x14ac:dyDescent="0.2">
      <c r="A32" t="s">
        <v>323</v>
      </c>
      <c r="B32" s="19" t="s">
        <v>416</v>
      </c>
      <c r="C32" s="19"/>
      <c r="D32" t="s">
        <v>432</v>
      </c>
      <c r="E32" t="s">
        <v>555</v>
      </c>
      <c r="G32" t="s">
        <v>865</v>
      </c>
    </row>
    <row r="33" spans="1:7" x14ac:dyDescent="0.2">
      <c r="A33" t="s">
        <v>317</v>
      </c>
      <c r="B33" s="19" t="s">
        <v>416</v>
      </c>
      <c r="C33" s="19"/>
      <c r="D33" t="s">
        <v>489</v>
      </c>
      <c r="E33" t="s">
        <v>555</v>
      </c>
      <c r="G33" t="s">
        <v>865</v>
      </c>
    </row>
    <row r="34" spans="1:7" x14ac:dyDescent="0.2">
      <c r="A34" t="s">
        <v>465</v>
      </c>
      <c r="B34" s="19" t="s">
        <v>416</v>
      </c>
      <c r="C34" s="19"/>
      <c r="D34" t="s">
        <v>466</v>
      </c>
      <c r="E34" t="s">
        <v>555</v>
      </c>
      <c r="G34" t="s">
        <v>865</v>
      </c>
    </row>
    <row r="35" spans="1:7" x14ac:dyDescent="0.2">
      <c r="A35" t="s">
        <v>308</v>
      </c>
      <c r="B35" s="19" t="s">
        <v>416</v>
      </c>
      <c r="C35" s="19"/>
      <c r="D35" t="s">
        <v>431</v>
      </c>
      <c r="G35" t="s">
        <v>865</v>
      </c>
    </row>
    <row r="36" spans="1:7" x14ac:dyDescent="0.2">
      <c r="A36" t="s">
        <v>331</v>
      </c>
      <c r="B36" s="19" t="s">
        <v>416</v>
      </c>
      <c r="C36" s="19"/>
      <c r="D36" t="s">
        <v>434</v>
      </c>
      <c r="E36" t="s">
        <v>555</v>
      </c>
      <c r="G36" t="s">
        <v>865</v>
      </c>
    </row>
    <row r="37" spans="1:7" x14ac:dyDescent="0.2">
      <c r="A37" t="s">
        <v>298</v>
      </c>
      <c r="B37" s="19" t="s">
        <v>416</v>
      </c>
      <c r="C37" s="19"/>
      <c r="D37" t="s">
        <v>486</v>
      </c>
      <c r="E37" t="s">
        <v>555</v>
      </c>
      <c r="G37" t="s">
        <v>865</v>
      </c>
    </row>
    <row r="38" spans="1:7" x14ac:dyDescent="0.2">
      <c r="A38" t="s">
        <v>312</v>
      </c>
      <c r="B38" s="19" t="s">
        <v>416</v>
      </c>
      <c r="C38" s="19"/>
      <c r="D38" t="s">
        <v>485</v>
      </c>
      <c r="E38" t="s">
        <v>555</v>
      </c>
      <c r="G38" t="s">
        <v>865</v>
      </c>
    </row>
    <row r="39" spans="1:7" x14ac:dyDescent="0.2">
      <c r="A39" t="s">
        <v>299</v>
      </c>
      <c r="B39" s="19" t="s">
        <v>416</v>
      </c>
      <c r="C39" s="19"/>
      <c r="D39" t="s">
        <v>484</v>
      </c>
      <c r="E39" t="s">
        <v>555</v>
      </c>
      <c r="G39" t="s">
        <v>865</v>
      </c>
    </row>
    <row r="40" spans="1:7" x14ac:dyDescent="0.2">
      <c r="A40" t="s">
        <v>314</v>
      </c>
      <c r="B40" s="19" t="s">
        <v>166</v>
      </c>
      <c r="C40" s="19"/>
      <c r="D40" t="s">
        <v>483</v>
      </c>
      <c r="E40" t="s">
        <v>555</v>
      </c>
      <c r="G40" t="s">
        <v>865</v>
      </c>
    </row>
    <row r="41" spans="1:7" x14ac:dyDescent="0.2">
      <c r="A41" t="s">
        <v>449</v>
      </c>
      <c r="B41" s="19" t="s">
        <v>416</v>
      </c>
      <c r="C41" s="19"/>
      <c r="D41" t="s">
        <v>450</v>
      </c>
      <c r="E41" t="s">
        <v>555</v>
      </c>
      <c r="G41" t="s">
        <v>865</v>
      </c>
    </row>
    <row r="42" spans="1:7" x14ac:dyDescent="0.2">
      <c r="A42" t="s">
        <v>334</v>
      </c>
      <c r="B42" t="s">
        <v>416</v>
      </c>
      <c r="D42" t="s">
        <v>413</v>
      </c>
      <c r="E42" t="s">
        <v>555</v>
      </c>
      <c r="G42" t="s">
        <v>865</v>
      </c>
    </row>
    <row r="43" spans="1:7" x14ac:dyDescent="0.2">
      <c r="A43" t="s">
        <v>443</v>
      </c>
      <c r="B43" s="19" t="s">
        <v>416</v>
      </c>
      <c r="C43" s="19"/>
      <c r="D43" t="s">
        <v>444</v>
      </c>
      <c r="E43" t="s">
        <v>555</v>
      </c>
      <c r="G43" t="s">
        <v>865</v>
      </c>
    </row>
    <row r="44" spans="1:7" x14ac:dyDescent="0.2">
      <c r="A44" t="s">
        <v>442</v>
      </c>
      <c r="B44" s="19" t="s">
        <v>416</v>
      </c>
      <c r="C44" s="19"/>
      <c r="D44" t="s">
        <v>461</v>
      </c>
      <c r="G44" t="s">
        <v>865</v>
      </c>
    </row>
    <row r="45" spans="1:7" x14ac:dyDescent="0.2">
      <c r="A45" t="s">
        <v>451</v>
      </c>
      <c r="B45" s="19" t="s">
        <v>416</v>
      </c>
      <c r="C45" s="19"/>
      <c r="D45" t="s">
        <v>452</v>
      </c>
      <c r="E45" t="s">
        <v>555</v>
      </c>
      <c r="G45" t="s">
        <v>865</v>
      </c>
    </row>
    <row r="46" spans="1:7" x14ac:dyDescent="0.2">
      <c r="A46" t="s">
        <v>318</v>
      </c>
      <c r="B46" s="19" t="s">
        <v>416</v>
      </c>
      <c r="C46" s="19"/>
      <c r="D46" t="s">
        <v>482</v>
      </c>
      <c r="E46" t="s">
        <v>555</v>
      </c>
      <c r="G46" t="s">
        <v>865</v>
      </c>
    </row>
    <row r="47" spans="1:7" x14ac:dyDescent="0.2">
      <c r="A47" t="s">
        <v>326</v>
      </c>
      <c r="B47" s="19" t="s">
        <v>416</v>
      </c>
      <c r="C47" s="19"/>
      <c r="D47" t="s">
        <v>481</v>
      </c>
      <c r="E47" t="s">
        <v>555</v>
      </c>
      <c r="G47" t="s">
        <v>865</v>
      </c>
    </row>
    <row r="48" spans="1:7" x14ac:dyDescent="0.2">
      <c r="A48" t="s">
        <v>329</v>
      </c>
      <c r="B48" s="19" t="s">
        <v>416</v>
      </c>
      <c r="C48" s="19"/>
      <c r="D48" t="s">
        <v>480</v>
      </c>
      <c r="E48" t="s">
        <v>555</v>
      </c>
      <c r="F48" t="s">
        <v>476</v>
      </c>
      <c r="G48" t="s">
        <v>865</v>
      </c>
    </row>
    <row r="49" spans="1:8" x14ac:dyDescent="0.2">
      <c r="A49" t="s">
        <v>462</v>
      </c>
      <c r="B49" s="19" t="s">
        <v>416</v>
      </c>
      <c r="C49" s="19"/>
      <c r="D49" t="s">
        <v>463</v>
      </c>
      <c r="E49" t="s">
        <v>555</v>
      </c>
      <c r="G49" t="s">
        <v>865</v>
      </c>
    </row>
    <row r="50" spans="1:8" x14ac:dyDescent="0.2">
      <c r="A50" t="s">
        <v>302</v>
      </c>
      <c r="B50" s="19" t="s">
        <v>416</v>
      </c>
      <c r="C50" s="19"/>
      <c r="D50" t="s">
        <v>428</v>
      </c>
      <c r="E50" t="s">
        <v>555</v>
      </c>
      <c r="G50" t="s">
        <v>865</v>
      </c>
    </row>
    <row r="51" spans="1:8" x14ac:dyDescent="0.2">
      <c r="A51" t="s">
        <v>325</v>
      </c>
      <c r="B51" s="19" t="s">
        <v>416</v>
      </c>
      <c r="C51" s="19"/>
      <c r="D51" t="s">
        <v>479</v>
      </c>
      <c r="E51" t="s">
        <v>555</v>
      </c>
      <c r="G51" t="s">
        <v>865</v>
      </c>
    </row>
    <row r="52" spans="1:8" x14ac:dyDescent="0.2">
      <c r="A52" t="s">
        <v>307</v>
      </c>
      <c r="B52" s="19" t="s">
        <v>416</v>
      </c>
      <c r="C52" s="19"/>
      <c r="D52" t="s">
        <v>430</v>
      </c>
      <c r="E52" t="s">
        <v>555</v>
      </c>
      <c r="G52" t="s">
        <v>865</v>
      </c>
    </row>
    <row r="53" spans="1:8" x14ac:dyDescent="0.2">
      <c r="A53" t="s">
        <v>316</v>
      </c>
      <c r="B53" s="19" t="s">
        <v>416</v>
      </c>
      <c r="C53" s="19"/>
      <c r="D53" t="s">
        <v>499</v>
      </c>
      <c r="E53" t="s">
        <v>555</v>
      </c>
      <c r="G53" t="s">
        <v>865</v>
      </c>
    </row>
    <row r="54" spans="1:8" x14ac:dyDescent="0.2">
      <c r="A54" t="s">
        <v>319</v>
      </c>
      <c r="B54" s="19" t="s">
        <v>416</v>
      </c>
      <c r="C54" s="19"/>
      <c r="D54" t="s">
        <v>501</v>
      </c>
      <c r="E54" t="s">
        <v>555</v>
      </c>
      <c r="G54" t="s">
        <v>865</v>
      </c>
    </row>
    <row r="55" spans="1:8" x14ac:dyDescent="0.2">
      <c r="A55" t="s">
        <v>321</v>
      </c>
      <c r="B55" s="19" t="s">
        <v>416</v>
      </c>
      <c r="C55" s="19"/>
      <c r="D55" t="s">
        <v>502</v>
      </c>
      <c r="E55" t="s">
        <v>555</v>
      </c>
      <c r="G55" t="s">
        <v>865</v>
      </c>
    </row>
    <row r="56" spans="1:8" x14ac:dyDescent="0.2">
      <c r="A56" t="s">
        <v>305</v>
      </c>
      <c r="B56" s="19" t="s">
        <v>416</v>
      </c>
      <c r="C56" s="19"/>
      <c r="D56" t="s">
        <v>503</v>
      </c>
      <c r="E56" t="s">
        <v>555</v>
      </c>
      <c r="G56" t="s">
        <v>865</v>
      </c>
    </row>
    <row r="57" spans="1:8" x14ac:dyDescent="0.2">
      <c r="A57" t="s">
        <v>304</v>
      </c>
      <c r="B57" s="19" t="s">
        <v>416</v>
      </c>
      <c r="C57" s="19"/>
      <c r="D57" t="s">
        <v>504</v>
      </c>
      <c r="E57" t="s">
        <v>555</v>
      </c>
      <c r="G57" t="s">
        <v>865</v>
      </c>
    </row>
    <row r="58" spans="1:8" x14ac:dyDescent="0.2">
      <c r="A58" t="s">
        <v>517</v>
      </c>
      <c r="B58" t="s">
        <v>416</v>
      </c>
      <c r="D58" t="s">
        <v>518</v>
      </c>
      <c r="E58" t="s">
        <v>555</v>
      </c>
    </row>
    <row r="59" spans="1:8" x14ac:dyDescent="0.2">
      <c r="A59" t="s">
        <v>519</v>
      </c>
      <c r="B59" t="s">
        <v>416</v>
      </c>
      <c r="D59" t="s">
        <v>520</v>
      </c>
      <c r="E59" t="s">
        <v>555</v>
      </c>
      <c r="G59" t="s">
        <v>917</v>
      </c>
    </row>
    <row r="60" spans="1:8" x14ac:dyDescent="0.2">
      <c r="A60" t="s">
        <v>521</v>
      </c>
      <c r="B60" t="s">
        <v>416</v>
      </c>
      <c r="D60" t="s">
        <v>522</v>
      </c>
      <c r="E60" t="s">
        <v>555</v>
      </c>
      <c r="G60" t="s">
        <v>917</v>
      </c>
    </row>
    <row r="61" spans="1:8" x14ac:dyDescent="0.2">
      <c r="A61" t="s">
        <v>523</v>
      </c>
      <c r="B61" t="s">
        <v>416</v>
      </c>
      <c r="D61" t="s">
        <v>524</v>
      </c>
      <c r="E61" t="s">
        <v>555</v>
      </c>
      <c r="G61" t="s">
        <v>917</v>
      </c>
      <c r="H61" t="s">
        <v>476</v>
      </c>
    </row>
    <row r="62" spans="1:8" x14ac:dyDescent="0.2">
      <c r="A62" t="s">
        <v>507</v>
      </c>
      <c r="B62" t="s">
        <v>416</v>
      </c>
      <c r="D62" t="s">
        <v>508</v>
      </c>
      <c r="E62" t="s">
        <v>555</v>
      </c>
    </row>
    <row r="63" spans="1:8" x14ac:dyDescent="0.2">
      <c r="A63" t="s">
        <v>511</v>
      </c>
      <c r="B63" t="s">
        <v>416</v>
      </c>
      <c r="D63" t="s">
        <v>512</v>
      </c>
      <c r="E63" t="s">
        <v>555</v>
      </c>
      <c r="G63" t="s">
        <v>916</v>
      </c>
    </row>
    <row r="64" spans="1:8" x14ac:dyDescent="0.2">
      <c r="A64" t="s">
        <v>513</v>
      </c>
      <c r="B64" t="s">
        <v>416</v>
      </c>
      <c r="D64" t="s">
        <v>514</v>
      </c>
      <c r="E64" t="s">
        <v>555</v>
      </c>
      <c r="G64" t="s">
        <v>917</v>
      </c>
    </row>
    <row r="65" spans="1:7" x14ac:dyDescent="0.2">
      <c r="A65" t="s">
        <v>516</v>
      </c>
      <c r="B65" t="s">
        <v>416</v>
      </c>
      <c r="D65" t="s">
        <v>515</v>
      </c>
      <c r="E65" t="s">
        <v>555</v>
      </c>
      <c r="G65" t="s">
        <v>917</v>
      </c>
    </row>
    <row r="66" spans="1:7" x14ac:dyDescent="0.2">
      <c r="A66" t="s">
        <v>793</v>
      </c>
      <c r="B66" t="s">
        <v>416</v>
      </c>
      <c r="D66" t="s">
        <v>796</v>
      </c>
      <c r="E66" t="s">
        <v>847</v>
      </c>
      <c r="G66" t="s">
        <v>916</v>
      </c>
    </row>
    <row r="67" spans="1:7" x14ac:dyDescent="0.2">
      <c r="A67" t="s">
        <v>794</v>
      </c>
      <c r="B67" t="s">
        <v>416</v>
      </c>
      <c r="D67" t="s">
        <v>795</v>
      </c>
      <c r="E67" t="s">
        <v>847</v>
      </c>
      <c r="G67" t="s">
        <v>916</v>
      </c>
    </row>
    <row r="68" spans="1:7" x14ac:dyDescent="0.2">
      <c r="A68" t="s">
        <v>797</v>
      </c>
      <c r="B68" t="s">
        <v>416</v>
      </c>
      <c r="D68" t="s">
        <v>798</v>
      </c>
      <c r="E68" t="s">
        <v>847</v>
      </c>
      <c r="G68" t="s">
        <v>916</v>
      </c>
    </row>
    <row r="69" spans="1:7" x14ac:dyDescent="0.2">
      <c r="A69" t="s">
        <v>799</v>
      </c>
      <c r="B69" t="s">
        <v>416</v>
      </c>
      <c r="D69" t="s">
        <v>800</v>
      </c>
      <c r="E69" t="s">
        <v>847</v>
      </c>
      <c r="G69" t="s">
        <v>916</v>
      </c>
    </row>
    <row r="70" spans="1:7" x14ac:dyDescent="0.2">
      <c r="A70" t="s">
        <v>801</v>
      </c>
      <c r="B70" t="s">
        <v>416</v>
      </c>
      <c r="D70" t="s">
        <v>802</v>
      </c>
      <c r="E70" t="s">
        <v>847</v>
      </c>
      <c r="G70" t="s">
        <v>916</v>
      </c>
    </row>
    <row r="71" spans="1:7" x14ac:dyDescent="0.2">
      <c r="A71" t="s">
        <v>803</v>
      </c>
      <c r="B71" t="s">
        <v>416</v>
      </c>
      <c r="D71" t="s">
        <v>804</v>
      </c>
      <c r="E71" t="s">
        <v>847</v>
      </c>
      <c r="G71" t="s">
        <v>917</v>
      </c>
    </row>
    <row r="72" spans="1:7" x14ac:dyDescent="0.2">
      <c r="A72" s="48" t="s">
        <v>805</v>
      </c>
      <c r="B72" t="s">
        <v>416</v>
      </c>
      <c r="D72" t="s">
        <v>806</v>
      </c>
      <c r="E72" t="s">
        <v>847</v>
      </c>
    </row>
    <row r="73" spans="1:7" x14ac:dyDescent="0.2">
      <c r="A73" t="s">
        <v>807</v>
      </c>
      <c r="B73" t="s">
        <v>416</v>
      </c>
      <c r="D73" t="s">
        <v>808</v>
      </c>
      <c r="E73" t="s">
        <v>847</v>
      </c>
    </row>
    <row r="74" spans="1:7" x14ac:dyDescent="0.2">
      <c r="A74" t="s">
        <v>809</v>
      </c>
      <c r="B74" t="s">
        <v>416</v>
      </c>
      <c r="D74" t="s">
        <v>810</v>
      </c>
      <c r="E74" t="s">
        <v>847</v>
      </c>
    </row>
    <row r="75" spans="1:7" x14ac:dyDescent="0.2">
      <c r="A75" t="s">
        <v>811</v>
      </c>
      <c r="B75" t="s">
        <v>416</v>
      </c>
      <c r="D75" t="s">
        <v>812</v>
      </c>
      <c r="E75" t="s">
        <v>847</v>
      </c>
    </row>
    <row r="76" spans="1:7" x14ac:dyDescent="0.2">
      <c r="A76" t="s">
        <v>813</v>
      </c>
      <c r="B76" t="s">
        <v>416</v>
      </c>
      <c r="D76" t="s">
        <v>814</v>
      </c>
      <c r="E76" t="s">
        <v>847</v>
      </c>
    </row>
    <row r="77" spans="1:7" x14ac:dyDescent="0.2">
      <c r="A77" t="s">
        <v>815</v>
      </c>
      <c r="B77" t="s">
        <v>416</v>
      </c>
      <c r="D77" t="s">
        <v>816</v>
      </c>
      <c r="E77" t="s">
        <v>847</v>
      </c>
    </row>
    <row r="78" spans="1:7" x14ac:dyDescent="0.2">
      <c r="A78" t="s">
        <v>817</v>
      </c>
      <c r="B78" t="s">
        <v>416</v>
      </c>
      <c r="D78" t="s">
        <v>818</v>
      </c>
      <c r="E78" t="s">
        <v>847</v>
      </c>
    </row>
    <row r="79" spans="1:7" x14ac:dyDescent="0.2">
      <c r="A79" t="s">
        <v>819</v>
      </c>
      <c r="B79" t="s">
        <v>416</v>
      </c>
      <c r="D79" t="s">
        <v>820</v>
      </c>
      <c r="E79" t="s">
        <v>847</v>
      </c>
    </row>
    <row r="80" spans="1:7" x14ac:dyDescent="0.2">
      <c r="A80" t="s">
        <v>821</v>
      </c>
      <c r="B80" t="s">
        <v>416</v>
      </c>
      <c r="D80" t="s">
        <v>822</v>
      </c>
      <c r="E80" t="s">
        <v>847</v>
      </c>
    </row>
    <row r="81" spans="1:5" x14ac:dyDescent="0.2">
      <c r="A81" t="s">
        <v>823</v>
      </c>
      <c r="B81" t="s">
        <v>416</v>
      </c>
      <c r="D81" t="s">
        <v>824</v>
      </c>
      <c r="E81" t="s">
        <v>847</v>
      </c>
    </row>
    <row r="82" spans="1:5" x14ac:dyDescent="0.2">
      <c r="A82" t="s">
        <v>826</v>
      </c>
      <c r="B82" t="s">
        <v>416</v>
      </c>
      <c r="D82" t="s">
        <v>825</v>
      </c>
      <c r="E82" t="s">
        <v>847</v>
      </c>
    </row>
    <row r="83" spans="1:5" x14ac:dyDescent="0.2">
      <c r="A83" t="s">
        <v>827</v>
      </c>
      <c r="B83" t="s">
        <v>416</v>
      </c>
      <c r="D83" t="s">
        <v>828</v>
      </c>
      <c r="E83" t="s">
        <v>847</v>
      </c>
    </row>
    <row r="84" spans="1:5" x14ac:dyDescent="0.2">
      <c r="A84" t="s">
        <v>829</v>
      </c>
      <c r="B84" t="s">
        <v>416</v>
      </c>
      <c r="D84" t="s">
        <v>830</v>
      </c>
      <c r="E84" t="s">
        <v>847</v>
      </c>
    </row>
    <row r="85" spans="1:5" x14ac:dyDescent="0.2">
      <c r="A85" t="s">
        <v>831</v>
      </c>
      <c r="B85" t="s">
        <v>416</v>
      </c>
      <c r="D85" t="s">
        <v>832</v>
      </c>
      <c r="E85" t="s">
        <v>847</v>
      </c>
    </row>
    <row r="86" spans="1:5" x14ac:dyDescent="0.2">
      <c r="A86" t="s">
        <v>833</v>
      </c>
      <c r="B86" t="s">
        <v>416</v>
      </c>
      <c r="D86" t="s">
        <v>834</v>
      </c>
      <c r="E86" t="s">
        <v>847</v>
      </c>
    </row>
    <row r="87" spans="1:5" x14ac:dyDescent="0.2">
      <c r="A87" t="s">
        <v>835</v>
      </c>
      <c r="B87" t="s">
        <v>416</v>
      </c>
      <c r="D87" t="s">
        <v>836</v>
      </c>
      <c r="E87" t="s">
        <v>847</v>
      </c>
    </row>
    <row r="88" spans="1:5" x14ac:dyDescent="0.2">
      <c r="A88" t="s">
        <v>837</v>
      </c>
      <c r="B88" t="s">
        <v>416</v>
      </c>
      <c r="D88" t="s">
        <v>838</v>
      </c>
      <c r="E88" t="s">
        <v>847</v>
      </c>
    </row>
    <row r="89" spans="1:5" x14ac:dyDescent="0.2">
      <c r="A89" t="s">
        <v>839</v>
      </c>
      <c r="B89" t="s">
        <v>416</v>
      </c>
      <c r="D89" t="s">
        <v>840</v>
      </c>
      <c r="E89" t="s">
        <v>847</v>
      </c>
    </row>
    <row r="90" spans="1:5" x14ac:dyDescent="0.2">
      <c r="A90" t="s">
        <v>841</v>
      </c>
      <c r="B90" t="s">
        <v>416</v>
      </c>
      <c r="D90" t="s">
        <v>842</v>
      </c>
      <c r="E90" t="s">
        <v>847</v>
      </c>
    </row>
    <row r="91" spans="1:5" x14ac:dyDescent="0.2">
      <c r="A91" t="s">
        <v>597</v>
      </c>
      <c r="B91" t="s">
        <v>416</v>
      </c>
      <c r="D91" t="s">
        <v>598</v>
      </c>
      <c r="E91" t="s">
        <v>847</v>
      </c>
    </row>
    <row r="92" spans="1:5" x14ac:dyDescent="0.2">
      <c r="A92" t="s">
        <v>843</v>
      </c>
      <c r="B92" t="s">
        <v>416</v>
      </c>
      <c r="D92" t="s">
        <v>844</v>
      </c>
      <c r="E92" t="s">
        <v>847</v>
      </c>
    </row>
    <row r="93" spans="1:5" x14ac:dyDescent="0.2">
      <c r="A93" t="s">
        <v>845</v>
      </c>
      <c r="B93" t="s">
        <v>416</v>
      </c>
      <c r="D93" t="s">
        <v>846</v>
      </c>
      <c r="E93" t="s">
        <v>847</v>
      </c>
    </row>
    <row r="94" spans="1:5" x14ac:dyDescent="0.2">
      <c r="A94" s="45" t="s">
        <v>866</v>
      </c>
      <c r="B94" t="s">
        <v>166</v>
      </c>
      <c r="D94" t="s">
        <v>867</v>
      </c>
    </row>
    <row r="95" spans="1:5" x14ac:dyDescent="0.2">
      <c r="A95" t="s">
        <v>868</v>
      </c>
      <c r="B95" t="s">
        <v>166</v>
      </c>
      <c r="D95" t="s">
        <v>869</v>
      </c>
    </row>
    <row r="96" spans="1:5" x14ac:dyDescent="0.2">
      <c r="A96" t="s">
        <v>870</v>
      </c>
      <c r="B96" t="s">
        <v>419</v>
      </c>
      <c r="D96" t="s">
        <v>871</v>
      </c>
    </row>
    <row r="97" spans="1:7" x14ac:dyDescent="0.2">
      <c r="A97" t="s">
        <v>872</v>
      </c>
      <c r="B97" t="s">
        <v>416</v>
      </c>
      <c r="D97" t="s">
        <v>873</v>
      </c>
      <c r="F97" t="s">
        <v>914</v>
      </c>
    </row>
    <row r="98" spans="1:7" x14ac:dyDescent="0.2">
      <c r="A98" t="s">
        <v>875</v>
      </c>
      <c r="B98" t="s">
        <v>419</v>
      </c>
      <c r="D98" t="s">
        <v>874</v>
      </c>
    </row>
    <row r="99" spans="1:7" x14ac:dyDescent="0.2">
      <c r="A99" t="s">
        <v>877</v>
      </c>
      <c r="B99" t="s">
        <v>166</v>
      </c>
      <c r="D99" t="s">
        <v>876</v>
      </c>
    </row>
    <row r="100" spans="1:7" x14ac:dyDescent="0.2">
      <c r="A100" s="45" t="s">
        <v>878</v>
      </c>
      <c r="B100" t="s">
        <v>416</v>
      </c>
      <c r="D100" t="s">
        <v>879</v>
      </c>
      <c r="F100" t="s">
        <v>914</v>
      </c>
    </row>
    <row r="101" spans="1:7" x14ac:dyDescent="0.2">
      <c r="A101" t="s">
        <v>880</v>
      </c>
      <c r="B101" t="s">
        <v>416</v>
      </c>
      <c r="D101" t="s">
        <v>881</v>
      </c>
      <c r="F101" t="s">
        <v>914</v>
      </c>
    </row>
    <row r="102" spans="1:7" x14ac:dyDescent="0.2">
      <c r="A102" t="s">
        <v>882</v>
      </c>
      <c r="B102" t="s">
        <v>416</v>
      </c>
      <c r="D102" t="s">
        <v>883</v>
      </c>
      <c r="F102" t="s">
        <v>914</v>
      </c>
    </row>
    <row r="103" spans="1:7" x14ac:dyDescent="0.2">
      <c r="A103" t="s">
        <v>884</v>
      </c>
      <c r="B103" t="s">
        <v>166</v>
      </c>
      <c r="D103" t="s">
        <v>885</v>
      </c>
    </row>
    <row r="105" spans="1:7" x14ac:dyDescent="0.2">
      <c r="B105" t="s">
        <v>476</v>
      </c>
    </row>
    <row r="111" spans="1:7" x14ac:dyDescent="0.2">
      <c r="C111" t="s">
        <v>476</v>
      </c>
    </row>
    <row r="112" spans="1:7" s="20" customFormat="1" x14ac:dyDescent="0.2">
      <c r="A112" s="20" t="s">
        <v>411</v>
      </c>
      <c r="B112" s="20" t="s">
        <v>415</v>
      </c>
      <c r="C112" s="20" t="s">
        <v>166</v>
      </c>
      <c r="D112" s="20" t="s">
        <v>149</v>
      </c>
      <c r="E112" s="20" t="s">
        <v>551</v>
      </c>
      <c r="F112" s="20" t="s">
        <v>553</v>
      </c>
      <c r="G112" s="20" t="s">
        <v>864</v>
      </c>
    </row>
    <row r="113" spans="1:8" x14ac:dyDescent="0.2">
      <c r="A113" t="s">
        <v>342</v>
      </c>
      <c r="B113" t="s">
        <v>419</v>
      </c>
      <c r="D113" t="s">
        <v>424</v>
      </c>
    </row>
    <row r="114" spans="1:8" x14ac:dyDescent="0.2">
      <c r="A114" t="s">
        <v>340</v>
      </c>
      <c r="B114" t="s">
        <v>419</v>
      </c>
      <c r="D114" t="s">
        <v>422</v>
      </c>
    </row>
    <row r="115" spans="1:8" ht="16" x14ac:dyDescent="0.2">
      <c r="A115" t="s">
        <v>337</v>
      </c>
      <c r="B115" t="s">
        <v>419</v>
      </c>
      <c r="D115" s="18" t="s">
        <v>418</v>
      </c>
    </row>
    <row r="116" spans="1:8" x14ac:dyDescent="0.2">
      <c r="A116" t="s">
        <v>344</v>
      </c>
      <c r="B116" t="s">
        <v>419</v>
      </c>
      <c r="D116" t="s">
        <v>426</v>
      </c>
      <c r="H116" t="s">
        <v>476</v>
      </c>
    </row>
    <row r="118" spans="1:8" x14ac:dyDescent="0.2">
      <c r="A118" t="s">
        <v>345</v>
      </c>
      <c r="B118" t="s">
        <v>166</v>
      </c>
      <c r="D118" t="s">
        <v>435</v>
      </c>
      <c r="E118" t="s">
        <v>555</v>
      </c>
    </row>
    <row r="119" spans="1:8" x14ac:dyDescent="0.2">
      <c r="A119" t="s">
        <v>335</v>
      </c>
      <c r="B119" t="s">
        <v>166</v>
      </c>
      <c r="D119" t="s">
        <v>414</v>
      </c>
      <c r="E119" t="s">
        <v>555</v>
      </c>
    </row>
    <row r="120" spans="1:8" x14ac:dyDescent="0.2">
      <c r="A120" t="s">
        <v>338</v>
      </c>
      <c r="B120" t="s">
        <v>166</v>
      </c>
      <c r="D120" t="s">
        <v>420</v>
      </c>
      <c r="E120" t="s">
        <v>555</v>
      </c>
    </row>
    <row r="121" spans="1:8" x14ac:dyDescent="0.2">
      <c r="A121" t="s">
        <v>313</v>
      </c>
      <c r="B121" s="19" t="s">
        <v>166</v>
      </c>
      <c r="C121" s="19"/>
      <c r="D121" t="s">
        <v>492</v>
      </c>
      <c r="E121" t="s">
        <v>555</v>
      </c>
    </row>
    <row r="122" spans="1:8" x14ac:dyDescent="0.2">
      <c r="A122" t="s">
        <v>446</v>
      </c>
      <c r="B122" s="19" t="s">
        <v>166</v>
      </c>
      <c r="C122" s="19"/>
      <c r="D122" t="s">
        <v>445</v>
      </c>
      <c r="E122" t="s">
        <v>555</v>
      </c>
    </row>
    <row r="123" spans="1:8" x14ac:dyDescent="0.2">
      <c r="A123" t="s">
        <v>346</v>
      </c>
      <c r="B123" t="s">
        <v>166</v>
      </c>
      <c r="D123" t="s">
        <v>436</v>
      </c>
      <c r="E123" t="s">
        <v>555</v>
      </c>
    </row>
    <row r="124" spans="1:8" x14ac:dyDescent="0.2">
      <c r="A124" t="s">
        <v>311</v>
      </c>
      <c r="B124" s="19" t="s">
        <v>166</v>
      </c>
      <c r="C124" s="19"/>
      <c r="D124" t="s">
        <v>491</v>
      </c>
    </row>
    <row r="125" spans="1:8" x14ac:dyDescent="0.2">
      <c r="A125" t="s">
        <v>322</v>
      </c>
      <c r="B125" s="19" t="s">
        <v>166</v>
      </c>
      <c r="C125" s="19"/>
      <c r="D125" t="s">
        <v>488</v>
      </c>
      <c r="E125" t="s">
        <v>555</v>
      </c>
    </row>
    <row r="126" spans="1:8" x14ac:dyDescent="0.2">
      <c r="A126" t="s">
        <v>327</v>
      </c>
      <c r="B126" s="19" t="s">
        <v>166</v>
      </c>
      <c r="C126" s="19"/>
      <c r="D126" t="s">
        <v>487</v>
      </c>
      <c r="E126" t="s">
        <v>555</v>
      </c>
    </row>
    <row r="127" spans="1:8" x14ac:dyDescent="0.2">
      <c r="A127" t="s">
        <v>309</v>
      </c>
      <c r="B127" s="19" t="s">
        <v>166</v>
      </c>
      <c r="C127" s="19"/>
      <c r="D127" t="s">
        <v>498</v>
      </c>
      <c r="E127" t="s">
        <v>555</v>
      </c>
    </row>
    <row r="128" spans="1:8" x14ac:dyDescent="0.2">
      <c r="A128" t="s">
        <v>310</v>
      </c>
      <c r="B128" s="19" t="s">
        <v>166</v>
      </c>
      <c r="C128" s="19"/>
      <c r="D128" t="s">
        <v>500</v>
      </c>
      <c r="E128" t="s">
        <v>555</v>
      </c>
    </row>
    <row r="129" spans="1:6" x14ac:dyDescent="0.2">
      <c r="A129" t="s">
        <v>509</v>
      </c>
      <c r="B129" t="s">
        <v>166</v>
      </c>
      <c r="D129" t="s">
        <v>510</v>
      </c>
      <c r="E129" t="s">
        <v>555</v>
      </c>
    </row>
    <row r="130" spans="1:6" x14ac:dyDescent="0.2">
      <c r="A130" t="s">
        <v>315</v>
      </c>
      <c r="B130" s="19" t="s">
        <v>166</v>
      </c>
      <c r="C130" s="19"/>
      <c r="D130" t="s">
        <v>497</v>
      </c>
      <c r="E130" t="s">
        <v>555</v>
      </c>
    </row>
    <row r="131" spans="1:6" x14ac:dyDescent="0.2">
      <c r="A131" t="s">
        <v>558</v>
      </c>
      <c r="B131" s="19" t="s">
        <v>166</v>
      </c>
      <c r="C131" t="s">
        <v>557</v>
      </c>
      <c r="D131" t="s">
        <v>559</v>
      </c>
      <c r="F131" t="s">
        <v>914</v>
      </c>
    </row>
    <row r="132" spans="1:6" x14ac:dyDescent="0.2">
      <c r="A132" t="s">
        <v>560</v>
      </c>
      <c r="B132" s="19" t="s">
        <v>166</v>
      </c>
      <c r="C132" t="s">
        <v>557</v>
      </c>
      <c r="D132" t="s">
        <v>561</v>
      </c>
      <c r="F132" t="s">
        <v>914</v>
      </c>
    </row>
    <row r="133" spans="1:6" x14ac:dyDescent="0.2">
      <c r="A133" t="s">
        <v>562</v>
      </c>
      <c r="B133" s="19" t="s">
        <v>166</v>
      </c>
      <c r="C133" t="s">
        <v>557</v>
      </c>
      <c r="D133" t="s">
        <v>563</v>
      </c>
      <c r="F133" t="s">
        <v>914</v>
      </c>
    </row>
    <row r="134" spans="1:6" x14ac:dyDescent="0.2">
      <c r="A134" t="s">
        <v>565</v>
      </c>
      <c r="B134" s="19" t="s">
        <v>166</v>
      </c>
      <c r="C134" t="s">
        <v>564</v>
      </c>
      <c r="D134" t="s">
        <v>566</v>
      </c>
      <c r="F134" t="s">
        <v>914</v>
      </c>
    </row>
    <row r="135" spans="1:6" x14ac:dyDescent="0.2">
      <c r="A135" t="s">
        <v>567</v>
      </c>
      <c r="B135" s="19" t="s">
        <v>166</v>
      </c>
      <c r="C135" t="s">
        <v>564</v>
      </c>
      <c r="D135" t="s">
        <v>568</v>
      </c>
      <c r="F135" t="s">
        <v>914</v>
      </c>
    </row>
    <row r="136" spans="1:6" x14ac:dyDescent="0.2">
      <c r="A136" t="s">
        <v>569</v>
      </c>
      <c r="B136" s="19" t="s">
        <v>166</v>
      </c>
      <c r="C136" t="s">
        <v>570</v>
      </c>
      <c r="D136" t="s">
        <v>571</v>
      </c>
      <c r="F136" t="s">
        <v>914</v>
      </c>
    </row>
    <row r="137" spans="1:6" x14ac:dyDescent="0.2">
      <c r="A137" t="s">
        <v>573</v>
      </c>
      <c r="B137" s="19" t="s">
        <v>166</v>
      </c>
      <c r="C137" t="s">
        <v>572</v>
      </c>
      <c r="D137" t="s">
        <v>576</v>
      </c>
      <c r="F137" t="s">
        <v>914</v>
      </c>
    </row>
    <row r="138" spans="1:6" x14ac:dyDescent="0.2">
      <c r="A138" t="s">
        <v>574</v>
      </c>
      <c r="B138" s="19" t="s">
        <v>166</v>
      </c>
      <c r="C138" t="s">
        <v>572</v>
      </c>
      <c r="D138" t="s">
        <v>577</v>
      </c>
      <c r="F138" t="s">
        <v>914</v>
      </c>
    </row>
    <row r="139" spans="1:6" x14ac:dyDescent="0.2">
      <c r="A139" t="s">
        <v>578</v>
      </c>
      <c r="B139" s="19" t="s">
        <v>166</v>
      </c>
      <c r="C139" t="s">
        <v>572</v>
      </c>
      <c r="D139" t="s">
        <v>575</v>
      </c>
      <c r="F139" t="s">
        <v>914</v>
      </c>
    </row>
    <row r="140" spans="1:6" x14ac:dyDescent="0.2">
      <c r="A140" t="s">
        <v>580</v>
      </c>
      <c r="B140" s="19" t="s">
        <v>166</v>
      </c>
      <c r="C140" t="s">
        <v>579</v>
      </c>
      <c r="D140" t="s">
        <v>581</v>
      </c>
      <c r="F140" t="s">
        <v>914</v>
      </c>
    </row>
    <row r="141" spans="1:6" x14ac:dyDescent="0.2">
      <c r="A141" t="s">
        <v>583</v>
      </c>
      <c r="B141" s="19" t="s">
        <v>166</v>
      </c>
      <c r="C141" t="s">
        <v>582</v>
      </c>
      <c r="D141" t="s">
        <v>584</v>
      </c>
      <c r="F141" t="s">
        <v>914</v>
      </c>
    </row>
    <row r="142" spans="1:6" x14ac:dyDescent="0.2">
      <c r="A142" t="s">
        <v>585</v>
      </c>
      <c r="B142" s="19" t="s">
        <v>166</v>
      </c>
      <c r="C142" t="s">
        <v>582</v>
      </c>
      <c r="D142" t="s">
        <v>586</v>
      </c>
      <c r="F142" t="s">
        <v>914</v>
      </c>
    </row>
    <row r="143" spans="1:6" x14ac:dyDescent="0.2">
      <c r="A143" t="s">
        <v>587</v>
      </c>
      <c r="B143" s="19" t="s">
        <v>166</v>
      </c>
      <c r="C143" t="s">
        <v>582</v>
      </c>
      <c r="D143" t="s">
        <v>588</v>
      </c>
      <c r="F143" t="s">
        <v>914</v>
      </c>
    </row>
    <row r="144" spans="1:6" x14ac:dyDescent="0.2">
      <c r="A144" t="s">
        <v>590</v>
      </c>
      <c r="B144" s="19" t="s">
        <v>166</v>
      </c>
      <c r="C144" t="s">
        <v>589</v>
      </c>
      <c r="D144" t="s">
        <v>591</v>
      </c>
      <c r="F144" t="s">
        <v>914</v>
      </c>
    </row>
    <row r="145" spans="1:6" x14ac:dyDescent="0.2">
      <c r="A145" t="s">
        <v>593</v>
      </c>
      <c r="B145" s="19" t="s">
        <v>166</v>
      </c>
      <c r="C145" t="s">
        <v>589</v>
      </c>
      <c r="D145" t="s">
        <v>592</v>
      </c>
      <c r="F145" t="s">
        <v>914</v>
      </c>
    </row>
    <row r="146" spans="1:6" x14ac:dyDescent="0.2">
      <c r="A146" t="s">
        <v>595</v>
      </c>
      <c r="B146" s="19" t="s">
        <v>166</v>
      </c>
      <c r="C146" t="s">
        <v>594</v>
      </c>
      <c r="D146" t="s">
        <v>596</v>
      </c>
      <c r="F146" t="s">
        <v>914</v>
      </c>
    </row>
    <row r="147" spans="1:6" x14ac:dyDescent="0.2">
      <c r="A147" t="s">
        <v>599</v>
      </c>
      <c r="B147" s="19" t="s">
        <v>166</v>
      </c>
      <c r="C147" t="s">
        <v>594</v>
      </c>
      <c r="D147" t="s">
        <v>600</v>
      </c>
      <c r="F147" t="s">
        <v>914</v>
      </c>
    </row>
    <row r="148" spans="1:6" x14ac:dyDescent="0.2">
      <c r="A148" t="s">
        <v>602</v>
      </c>
      <c r="B148" s="19" t="s">
        <v>166</v>
      </c>
      <c r="C148" t="s">
        <v>601</v>
      </c>
      <c r="D148" t="s">
        <v>603</v>
      </c>
      <c r="F148" t="s">
        <v>914</v>
      </c>
    </row>
    <row r="149" spans="1:6" x14ac:dyDescent="0.2">
      <c r="A149" t="s">
        <v>605</v>
      </c>
      <c r="B149" s="19" t="s">
        <v>166</v>
      </c>
      <c r="C149" t="s">
        <v>604</v>
      </c>
      <c r="D149" t="s">
        <v>606</v>
      </c>
      <c r="F149" t="s">
        <v>914</v>
      </c>
    </row>
    <row r="150" spans="1:6" x14ac:dyDescent="0.2">
      <c r="A150" t="s">
        <v>607</v>
      </c>
      <c r="B150" s="19" t="s">
        <v>166</v>
      </c>
      <c r="C150" t="s">
        <v>604</v>
      </c>
      <c r="D150" t="s">
        <v>608</v>
      </c>
      <c r="F150" t="s">
        <v>914</v>
      </c>
    </row>
    <row r="151" spans="1:6" x14ac:dyDescent="0.2">
      <c r="A151" t="s">
        <v>610</v>
      </c>
      <c r="B151" s="19" t="s">
        <v>166</v>
      </c>
      <c r="C151" t="s">
        <v>609</v>
      </c>
      <c r="D151" t="s">
        <v>611</v>
      </c>
      <c r="F151" t="s">
        <v>914</v>
      </c>
    </row>
    <row r="152" spans="1:6" x14ac:dyDescent="0.2">
      <c r="A152" t="s">
        <v>613</v>
      </c>
      <c r="B152" s="19" t="s">
        <v>166</v>
      </c>
      <c r="C152" t="s">
        <v>612</v>
      </c>
      <c r="D152" t="s">
        <v>614</v>
      </c>
      <c r="F152" t="s">
        <v>914</v>
      </c>
    </row>
    <row r="153" spans="1:6" x14ac:dyDescent="0.2">
      <c r="A153" t="s">
        <v>615</v>
      </c>
      <c r="B153" s="19" t="s">
        <v>166</v>
      </c>
      <c r="C153" t="s">
        <v>612</v>
      </c>
      <c r="D153" t="s">
        <v>616</v>
      </c>
      <c r="F153" t="s">
        <v>914</v>
      </c>
    </row>
    <row r="154" spans="1:6" x14ac:dyDescent="0.2">
      <c r="A154" t="s">
        <v>617</v>
      </c>
      <c r="B154" s="19" t="s">
        <v>166</v>
      </c>
      <c r="C154" t="s">
        <v>612</v>
      </c>
      <c r="D154" t="s">
        <v>618</v>
      </c>
      <c r="F154" t="s">
        <v>914</v>
      </c>
    </row>
    <row r="155" spans="1:6" x14ac:dyDescent="0.2">
      <c r="A155" t="s">
        <v>619</v>
      </c>
      <c r="B155" s="19" t="s">
        <v>166</v>
      </c>
      <c r="C155" t="s">
        <v>612</v>
      </c>
      <c r="D155" t="s">
        <v>620</v>
      </c>
      <c r="F155" t="s">
        <v>914</v>
      </c>
    </row>
    <row r="156" spans="1:6" x14ac:dyDescent="0.2">
      <c r="A156" t="s">
        <v>621</v>
      </c>
      <c r="B156" s="19" t="s">
        <v>166</v>
      </c>
      <c r="C156" t="s">
        <v>623</v>
      </c>
      <c r="D156" t="s">
        <v>622</v>
      </c>
      <c r="F156" t="s">
        <v>914</v>
      </c>
    </row>
    <row r="157" spans="1:6" x14ac:dyDescent="0.2">
      <c r="A157" t="s">
        <v>625</v>
      </c>
      <c r="B157" s="19" t="s">
        <v>166</v>
      </c>
      <c r="C157" t="s">
        <v>624</v>
      </c>
      <c r="D157" t="s">
        <v>626</v>
      </c>
      <c r="F157" t="s">
        <v>914</v>
      </c>
    </row>
    <row r="158" spans="1:6" x14ac:dyDescent="0.2">
      <c r="A158" t="s">
        <v>627</v>
      </c>
      <c r="B158" s="19" t="s">
        <v>166</v>
      </c>
      <c r="C158" t="s">
        <v>624</v>
      </c>
      <c r="D158" t="s">
        <v>628</v>
      </c>
      <c r="F158" t="s">
        <v>914</v>
      </c>
    </row>
    <row r="159" spans="1:6" x14ac:dyDescent="0.2">
      <c r="A159" t="s">
        <v>630</v>
      </c>
      <c r="B159" s="19" t="s">
        <v>166</v>
      </c>
      <c r="C159" t="s">
        <v>629</v>
      </c>
      <c r="D159" t="s">
        <v>631</v>
      </c>
      <c r="F159" t="s">
        <v>914</v>
      </c>
    </row>
    <row r="160" spans="1:6" x14ac:dyDescent="0.2">
      <c r="A160" t="s">
        <v>632</v>
      </c>
      <c r="B160" s="19" t="s">
        <v>166</v>
      </c>
      <c r="C160" t="s">
        <v>629</v>
      </c>
      <c r="D160" t="s">
        <v>633</v>
      </c>
      <c r="F160" t="s">
        <v>914</v>
      </c>
    </row>
    <row r="161" spans="1:6" x14ac:dyDescent="0.2">
      <c r="A161" t="s">
        <v>635</v>
      </c>
      <c r="B161" s="19" t="s">
        <v>166</v>
      </c>
      <c r="C161" t="s">
        <v>634</v>
      </c>
      <c r="D161" t="s">
        <v>636</v>
      </c>
      <c r="F161" t="s">
        <v>914</v>
      </c>
    </row>
    <row r="162" spans="1:6" x14ac:dyDescent="0.2">
      <c r="A162" t="s">
        <v>637</v>
      </c>
      <c r="B162" s="19" t="s">
        <v>166</v>
      </c>
      <c r="C162" t="s">
        <v>634</v>
      </c>
      <c r="D162" t="s">
        <v>638</v>
      </c>
      <c r="F162" t="s">
        <v>914</v>
      </c>
    </row>
    <row r="163" spans="1:6" x14ac:dyDescent="0.2">
      <c r="A163" t="s">
        <v>639</v>
      </c>
      <c r="B163" s="19" t="s">
        <v>166</v>
      </c>
      <c r="C163" t="s">
        <v>634</v>
      </c>
      <c r="D163" t="s">
        <v>640</v>
      </c>
      <c r="F163" t="s">
        <v>914</v>
      </c>
    </row>
    <row r="164" spans="1:6" x14ac:dyDescent="0.2">
      <c r="A164" t="s">
        <v>641</v>
      </c>
      <c r="B164" s="19" t="s">
        <v>166</v>
      </c>
      <c r="C164" t="s">
        <v>634</v>
      </c>
      <c r="D164" t="s">
        <v>642</v>
      </c>
      <c r="F164" t="s">
        <v>914</v>
      </c>
    </row>
    <row r="165" spans="1:6" x14ac:dyDescent="0.2">
      <c r="A165" t="s">
        <v>643</v>
      </c>
      <c r="B165" s="19" t="s">
        <v>166</v>
      </c>
      <c r="C165" t="s">
        <v>644</v>
      </c>
      <c r="D165" t="s">
        <v>645</v>
      </c>
      <c r="F165" t="s">
        <v>914</v>
      </c>
    </row>
    <row r="166" spans="1:6" x14ac:dyDescent="0.2">
      <c r="A166" t="s">
        <v>646</v>
      </c>
      <c r="B166" s="19" t="s">
        <v>166</v>
      </c>
      <c r="C166" t="s">
        <v>644</v>
      </c>
      <c r="D166" t="s">
        <v>647</v>
      </c>
      <c r="F166" t="s">
        <v>914</v>
      </c>
    </row>
    <row r="167" spans="1:6" x14ac:dyDescent="0.2">
      <c r="A167" t="s">
        <v>648</v>
      </c>
      <c r="B167" s="19" t="s">
        <v>166</v>
      </c>
      <c r="C167" t="s">
        <v>644</v>
      </c>
      <c r="D167" t="s">
        <v>649</v>
      </c>
      <c r="F167" t="s">
        <v>914</v>
      </c>
    </row>
    <row r="168" spans="1:6" x14ac:dyDescent="0.2">
      <c r="A168" t="s">
        <v>651</v>
      </c>
      <c r="B168" s="19" t="s">
        <v>166</v>
      </c>
      <c r="C168" t="s">
        <v>650</v>
      </c>
      <c r="D168" t="s">
        <v>652</v>
      </c>
      <c r="F168" t="s">
        <v>914</v>
      </c>
    </row>
    <row r="169" spans="1:6" x14ac:dyDescent="0.2">
      <c r="A169" t="s">
        <v>653</v>
      </c>
      <c r="B169" s="19" t="s">
        <v>166</v>
      </c>
      <c r="C169" t="s">
        <v>650</v>
      </c>
      <c r="D169" t="s">
        <v>654</v>
      </c>
      <c r="F169" t="s">
        <v>915</v>
      </c>
    </row>
    <row r="170" spans="1:6" x14ac:dyDescent="0.2">
      <c r="A170" t="s">
        <v>656</v>
      </c>
      <c r="B170" s="19" t="s">
        <v>166</v>
      </c>
      <c r="C170" t="s">
        <v>655</v>
      </c>
      <c r="D170" t="s">
        <v>657</v>
      </c>
      <c r="F170" t="s">
        <v>914</v>
      </c>
    </row>
    <row r="171" spans="1:6" x14ac:dyDescent="0.2">
      <c r="A171" t="s">
        <v>658</v>
      </c>
      <c r="B171" s="19" t="s">
        <v>166</v>
      </c>
      <c r="C171" t="s">
        <v>655</v>
      </c>
      <c r="D171" t="s">
        <v>659</v>
      </c>
      <c r="F171" t="s">
        <v>914</v>
      </c>
    </row>
    <row r="172" spans="1:6" x14ac:dyDescent="0.2">
      <c r="A172" t="s">
        <v>661</v>
      </c>
      <c r="B172" s="19" t="s">
        <v>166</v>
      </c>
      <c r="C172" t="s">
        <v>660</v>
      </c>
      <c r="D172" t="s">
        <v>662</v>
      </c>
      <c r="F172" t="s">
        <v>914</v>
      </c>
    </row>
    <row r="173" spans="1:6" x14ac:dyDescent="0.2">
      <c r="A173" t="s">
        <v>663</v>
      </c>
      <c r="B173" s="19" t="s">
        <v>166</v>
      </c>
      <c r="C173" t="s">
        <v>660</v>
      </c>
      <c r="D173" t="s">
        <v>664</v>
      </c>
      <c r="F173" t="s">
        <v>914</v>
      </c>
    </row>
    <row r="174" spans="1:6" x14ac:dyDescent="0.2">
      <c r="A174" t="s">
        <v>665</v>
      </c>
      <c r="B174" s="19" t="s">
        <v>166</v>
      </c>
      <c r="C174" t="s">
        <v>667</v>
      </c>
      <c r="D174" t="s">
        <v>666</v>
      </c>
      <c r="F174" t="s">
        <v>914</v>
      </c>
    </row>
    <row r="175" spans="1:6" x14ac:dyDescent="0.2">
      <c r="A175" t="s">
        <v>669</v>
      </c>
      <c r="B175" s="19" t="s">
        <v>166</v>
      </c>
      <c r="C175" t="s">
        <v>667</v>
      </c>
      <c r="D175" t="s">
        <v>668</v>
      </c>
      <c r="F175" t="s">
        <v>914</v>
      </c>
    </row>
    <row r="176" spans="1:6" x14ac:dyDescent="0.2">
      <c r="B176" s="19"/>
    </row>
    <row r="180" spans="1:4" x14ac:dyDescent="0.2">
      <c r="D180" t="s">
        <v>476</v>
      </c>
    </row>
    <row r="182" spans="1:4" x14ac:dyDescent="0.2">
      <c r="A182" t="s">
        <v>526</v>
      </c>
    </row>
    <row r="183" spans="1:4" x14ac:dyDescent="0.2">
      <c r="A183" t="s">
        <v>527</v>
      </c>
    </row>
    <row r="184" spans="1:4" x14ac:dyDescent="0.2">
      <c r="A184" t="s">
        <v>528</v>
      </c>
    </row>
    <row r="185" spans="1:4" x14ac:dyDescent="0.2">
      <c r="A185" t="s">
        <v>529</v>
      </c>
    </row>
    <row r="186" spans="1:4" x14ac:dyDescent="0.2">
      <c r="A186" t="s">
        <v>530</v>
      </c>
    </row>
    <row r="187" spans="1:4" x14ac:dyDescent="0.2">
      <c r="A187" t="s">
        <v>531</v>
      </c>
    </row>
    <row r="188" spans="1:4" x14ac:dyDescent="0.2">
      <c r="A188" t="s">
        <v>532</v>
      </c>
    </row>
    <row r="189" spans="1:4" x14ac:dyDescent="0.2">
      <c r="A189" t="s">
        <v>533</v>
      </c>
    </row>
    <row r="190" spans="1:4" x14ac:dyDescent="0.2">
      <c r="A190" t="s">
        <v>534</v>
      </c>
    </row>
    <row r="191" spans="1:4" x14ac:dyDescent="0.2">
      <c r="A191" t="s">
        <v>535</v>
      </c>
    </row>
    <row r="192" spans="1:4" x14ac:dyDescent="0.2">
      <c r="A192" t="s">
        <v>525</v>
      </c>
    </row>
    <row r="193" spans="1:1" x14ac:dyDescent="0.2">
      <c r="A193" t="s">
        <v>536</v>
      </c>
    </row>
    <row r="194" spans="1:1" x14ac:dyDescent="0.2">
      <c r="A194" t="s">
        <v>537</v>
      </c>
    </row>
    <row r="195" spans="1:1" x14ac:dyDescent="0.2">
      <c r="A195" t="s">
        <v>538</v>
      </c>
    </row>
    <row r="196" spans="1:1" x14ac:dyDescent="0.2">
      <c r="A196" t="s">
        <v>539</v>
      </c>
    </row>
    <row r="197" spans="1:1" x14ac:dyDescent="0.2">
      <c r="A197" t="s">
        <v>540</v>
      </c>
    </row>
    <row r="198" spans="1:1" x14ac:dyDescent="0.2">
      <c r="A198" t="s">
        <v>541</v>
      </c>
    </row>
    <row r="199" spans="1:1" x14ac:dyDescent="0.2">
      <c r="A199" t="s">
        <v>542</v>
      </c>
    </row>
    <row r="200" spans="1:1" x14ac:dyDescent="0.2">
      <c r="A200" t="s">
        <v>542</v>
      </c>
    </row>
    <row r="201" spans="1:1" x14ac:dyDescent="0.2">
      <c r="A201" t="s">
        <v>543</v>
      </c>
    </row>
    <row r="202" spans="1:1" x14ac:dyDescent="0.2">
      <c r="A202" t="s">
        <v>544</v>
      </c>
    </row>
    <row r="203" spans="1:1" x14ac:dyDescent="0.2">
      <c r="A203" t="s">
        <v>545</v>
      </c>
    </row>
    <row r="204" spans="1:1" x14ac:dyDescent="0.2">
      <c r="A204" t="s">
        <v>546</v>
      </c>
    </row>
    <row r="205" spans="1:1" x14ac:dyDescent="0.2">
      <c r="A205" t="s">
        <v>547</v>
      </c>
    </row>
    <row r="206" spans="1:1" x14ac:dyDescent="0.2">
      <c r="A206" t="s">
        <v>548</v>
      </c>
    </row>
    <row r="207" spans="1:1" x14ac:dyDescent="0.2">
      <c r="A207" t="s">
        <v>549</v>
      </c>
    </row>
    <row r="208" spans="1:1" x14ac:dyDescent="0.2">
      <c r="A208" t="s">
        <v>550</v>
      </c>
    </row>
  </sheetData>
  <sortState xmlns:xlrd2="http://schemas.microsoft.com/office/spreadsheetml/2017/richdata2" ref="A2:D128">
    <sortCondition descending="1" ref="B2:B128"/>
  </sortState>
  <phoneticPr fontId="1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Overview</vt:lpstr>
      <vt:lpstr>Daily Playbook</vt:lpstr>
      <vt:lpstr>Lead Tracker</vt:lpstr>
      <vt:lpstr>DM Templates</vt:lpstr>
      <vt:lpstr>LinkedIn Requests</vt:lpstr>
      <vt:lpstr>Weekly Scoreboard</vt:lpstr>
      <vt:lpstr>Channel Strategy</vt:lpstr>
      <vt:lpstr>Linked in Content Plan</vt:lpstr>
      <vt:lpstr>Community Questions</vt:lpstr>
      <vt:lpstr>SEO Content Plan</vt:lpstr>
      <vt:lpstr>Community Posts</vt:lpstr>
      <vt:lpstr>Directory Listings</vt:lpstr>
      <vt:lpstr>Contacts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Tim Armstead</cp:lastModifiedBy>
  <cp:revision>0</cp:revision>
  <dcterms:created xsi:type="dcterms:W3CDTF">2026-07-27T15:14:58Z</dcterms:created>
  <dcterms:modified xsi:type="dcterms:W3CDTF">2026-09-23T14:01:29Z</dcterms:modified>
  <dc:language>en-US</dc:language>
</cp:coreProperties>
</file>